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9190" windowHeight="9210" activeTab="1"/>
  </bookViews>
  <sheets>
    <sheet name="CSV" sheetId="2" r:id="rId1"/>
    <sheet name="Template" sheetId="3" r:id="rId2"/>
    <sheet name="Converted" sheetId="4" r:id="rId3"/>
  </sheets>
  <calcPr calcId="171027"/>
</workbook>
</file>

<file path=xl/calcChain.xml><?xml version="1.0" encoding="utf-8"?>
<calcChain xmlns="http://schemas.openxmlformats.org/spreadsheetml/2006/main">
  <c r="G3" i="2" l="1"/>
  <c r="F19" i="3"/>
  <c r="D18" i="3"/>
  <c r="E18" i="3"/>
  <c r="F18" i="3"/>
  <c r="C3" i="2"/>
  <c r="C18" i="3" l="1"/>
  <c r="A47" i="3"/>
  <c r="A48" i="3"/>
  <c r="E17" i="3" l="1"/>
  <c r="E19" i="3"/>
  <c r="A44" i="3" l="1"/>
  <c r="D19" i="3"/>
  <c r="F17" i="3"/>
  <c r="D17" i="3"/>
  <c r="A40" i="3" l="1"/>
  <c r="C19" i="3"/>
  <c r="C17" i="3"/>
  <c r="A41" i="3" l="1"/>
  <c r="A53" i="3"/>
  <c r="A19" i="3"/>
  <c r="C2" i="3"/>
  <c r="A43" i="3"/>
  <c r="A45" i="3"/>
</calcChain>
</file>

<file path=xl/sharedStrings.xml><?xml version="1.0" encoding="utf-8"?>
<sst xmlns="http://schemas.openxmlformats.org/spreadsheetml/2006/main" count="115" uniqueCount="71">
  <si>
    <t>&lt;OFX&gt;</t>
  </si>
  <si>
    <t>&lt;SIGNONMSGSRSV1&gt;</t>
  </si>
  <si>
    <t>&lt;SONRS&gt;</t>
  </si>
  <si>
    <t>&lt;STATUS&gt;</t>
  </si>
  <si>
    <t>&lt;CODE&gt;0</t>
  </si>
  <si>
    <t>&lt;SEVERITY&gt;INFO</t>
  </si>
  <si>
    <t>&lt;/STATUS&gt;</t>
  </si>
  <si>
    <t>&lt;/SONRS&gt;</t>
  </si>
  <si>
    <t>&lt;/SIGNONMSGSRSV1&gt;</t>
  </si>
  <si>
    <t>&lt;BANKMSGSRSV1&gt;</t>
  </si>
  <si>
    <t>&lt;STMTTRNRS&gt;</t>
  </si>
  <si>
    <t>&lt;STMTRS&gt;</t>
  </si>
  <si>
    <t>&lt;BANKACCTFROM&gt;</t>
  </si>
  <si>
    <t>&lt;/BANKACCTFROM&gt;</t>
  </si>
  <si>
    <t>&lt;BANKTRANLIST&gt;</t>
  </si>
  <si>
    <t>&lt;STMTTRN&gt;</t>
  </si>
  <si>
    <t>&lt;/STMTTRN&gt;</t>
  </si>
  <si>
    <t>&lt;/BANKTRANLIST&gt;</t>
  </si>
  <si>
    <t>&lt;LEDGERBAL&gt;</t>
  </si>
  <si>
    <t>&lt;/LEDGERBAL&gt;</t>
  </si>
  <si>
    <t>&lt;/STMTRS&gt;</t>
  </si>
  <si>
    <t>&lt;/STMTTRNRS&gt;</t>
  </si>
  <si>
    <t>&lt;/BANKMSGSRSV1&gt;</t>
  </si>
  <si>
    <t>&lt;/OFX&gt;</t>
  </si>
  <si>
    <t>OFXHEADER:100</t>
  </si>
  <si>
    <t>DATA:OFXSGML</t>
  </si>
  <si>
    <t>VERSION:102</t>
  </si>
  <si>
    <t>SECURITY:NONE</t>
  </si>
  <si>
    <t>ENCODING:USASCII</t>
  </si>
  <si>
    <t>CHARSET:1252</t>
  </si>
  <si>
    <t>COMPRESSION:NONE</t>
  </si>
  <si>
    <t>OLDFILEUID:NONE</t>
  </si>
  <si>
    <t>NEWFILEUID:NONE</t>
  </si>
  <si>
    <t>&lt;MESSAGE&gt;OK</t>
  </si>
  <si>
    <t>&lt;LANGUAGE&gt;ENG</t>
  </si>
  <si>
    <t>&lt;INTU.BID&gt;3000</t>
  </si>
  <si>
    <t>&lt;TRNUID&gt;0</t>
  </si>
  <si>
    <t>&lt;BALAMT&gt;0.00</t>
  </si>
  <si>
    <r>
      <t>&lt;ACCTID&gt;</t>
    </r>
    <r>
      <rPr>
        <sz val="11"/>
        <color rgb="FFFF0000"/>
        <rFont val="Calibri"/>
        <family val="2"/>
        <scheme val="minor"/>
      </rPr>
      <t>999999999999</t>
    </r>
  </si>
  <si>
    <r>
      <t>&lt;BANKID&gt;</t>
    </r>
    <r>
      <rPr>
        <sz val="11"/>
        <color rgb="FFFF0000"/>
        <rFont val="Calibri"/>
        <family val="2"/>
        <scheme val="minor"/>
      </rPr>
      <t>999999999</t>
    </r>
  </si>
  <si>
    <r>
      <t>&lt;ACCTTYPE&gt;</t>
    </r>
    <r>
      <rPr>
        <sz val="11"/>
        <color rgb="FFFF0000"/>
        <rFont val="Calibri"/>
        <family val="2"/>
        <scheme val="minor"/>
      </rPr>
      <t>CHECKING</t>
    </r>
  </si>
  <si>
    <r>
      <t>&lt;CURDEF&gt;</t>
    </r>
    <r>
      <rPr>
        <sz val="11"/>
        <color rgb="FFFF0000"/>
        <rFont val="Calibri"/>
        <family val="2"/>
        <scheme val="minor"/>
      </rPr>
      <t>USD</t>
    </r>
  </si>
  <si>
    <t>&lt;--- Change if not USD</t>
  </si>
  <si>
    <t>&lt;--- You can put real bank account, or leave as is</t>
  </si>
  <si>
    <t>&lt;--- Put Checking or Savings</t>
  </si>
  <si>
    <t>&lt;--- Dynamic</t>
  </si>
  <si>
    <t>Server Transaction ID</t>
  </si>
  <si>
    <t>&lt;--- You can put real account ID, (Account number + suffix)</t>
  </si>
  <si>
    <t>&lt;--- Pulls in from Confirmation Number/Dynamic</t>
  </si>
  <si>
    <t>&lt;--- Dynamic Uses VBA</t>
  </si>
  <si>
    <t>Today</t>
  </si>
  <si>
    <t>First Transaction</t>
  </si>
  <si>
    <t>Last Transaction</t>
  </si>
  <si>
    <t>&lt;CURDEF&gt;USD</t>
  </si>
  <si>
    <t>&lt;BANKID&gt;999999999</t>
  </si>
  <si>
    <t>&lt;ACCTID&gt;999999999999</t>
  </si>
  <si>
    <t>&lt;ACCTTYPE&gt;CHECKING</t>
  </si>
  <si>
    <t>&lt;DTSERVER&gt;20170728151055.000[-6]</t>
  </si>
  <si>
    <t>&lt;DTSTART&gt;20170721130000.000[-6]</t>
  </si>
  <si>
    <t>Postdate</t>
  </si>
  <si>
    <t>Description</t>
  </si>
  <si>
    <t>Confirmation</t>
  </si>
  <si>
    <t>Amount</t>
  </si>
  <si>
    <t>Check Number</t>
  </si>
  <si>
    <t xml:space="preserve">  </t>
  </si>
  <si>
    <t>&lt;--- Paste in A3</t>
  </si>
  <si>
    <t>Wal-Mart Super C 0577  WAL-SAMS OLATHE KS US TR:48</t>
  </si>
  <si>
    <t>Start With Date</t>
  </si>
  <si>
    <t>Correct Length</t>
  </si>
  <si>
    <t>&lt;FITID&gt;R20177281510559685</t>
  </si>
  <si>
    <t xml:space="preserve">Wal-Mart Super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</si>
</sst>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/dd/yyyy"/>
    <numFmt numFmtId="165" formatCode="#"/>
    <numFmt numFmtId="166" formatCode="dd"/>
    <numFmt numFmtId="167" formatCode="mm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Fill="1"/>
    <xf numFmtId="0" fontId="0" fillId="33" borderId="0" xfId="0" applyFill="1"/>
    <xf numFmtId="164" fontId="0" fillId="0" borderId="0" xfId="0" applyNumberFormat="1"/>
    <xf numFmtId="14" fontId="0" fillId="0" borderId="0" xfId="0" applyNumberFormat="1"/>
    <xf numFmtId="0" fontId="0" fillId="34" borderId="0" xfId="0" applyFill="1"/>
    <xf numFmtId="165" fontId="0" fillId="0" borderId="0" xfId="0" applyNumberFormat="1"/>
    <xf numFmtId="0" fontId="9" fillId="5" borderId="4" xfId="9"/>
    <xf numFmtId="165" fontId="9" fillId="5" borderId="4" xfId="9" applyNumberFormat="1"/>
    <xf numFmtId="166" fontId="0" fillId="0" borderId="0" xfId="0" applyNumberFormat="1"/>
    <xf numFmtId="167" fontId="0" fillId="0" borderId="0" xfId="0" applyNumberFormat="1"/>
    <xf numFmtId="0" fontId="18" fillId="0" borderId="0" xfId="0" applyFont="1" applyAlignment="1">
      <alignment horizontal="left" vertical="center" indent="2"/>
    </xf>
    <xf numFmtId="2" fontId="0" fillId="0" borderId="0" xfId="0" applyNumberFormat="1"/>
    <xf numFmtId="0" fontId="0" fillId="35" borderId="0" xfId="0" applyFill="1"/>
    <xf numFmtId="14" fontId="0" fillId="35" borderId="0" xfId="0" applyNumberFormat="1" applyFill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889000</xdr:colOff>
      <xdr:row>0</xdr:row>
      <xdr:rowOff>6350</xdr:rowOff>
    </xdr:from>
    <xdr:to>
      <xdr:col>5</xdr:col>
      <xdr:colOff>1060450</xdr:colOff>
      <xdr:row>2</xdr:row>
      <xdr:rowOff>38100</xdr:rowOff>
    </xdr:to>
    <xdr:sp macro="[0]!ConvertNew" textlink="">
      <xdr:nvSpPr>
        <xdr:cNvPr id="2" name="Arrow: Left-Right 1">
          <a:extLst>
            <a:ext uri="{FF2B5EF4-FFF2-40B4-BE49-F238E27FC236}">
              <a16:creationId xmlns:a16="http://schemas.microsoft.com/office/drawing/2014/main" id="{A797501F-6DBB-4BF7-B777-3BB1C4F868FC}"/>
            </a:ext>
          </a:extLst>
        </xdr:cNvPr>
        <xdr:cNvSpPr/>
      </xdr:nvSpPr>
      <xdr:spPr>
        <a:xfrm>
          <a:off x="9309100" y="6350"/>
          <a:ext cx="1085850" cy="40005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Convert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2</xdr:row>
      <xdr:rowOff>82550</xdr:rowOff>
    </xdr:from>
    <xdr:to>
      <xdr:col>2</xdr:col>
      <xdr:colOff>2241550</xdr:colOff>
      <xdr:row>15</xdr:row>
      <xdr:rowOff>19050</xdr:rowOff>
    </xdr:to>
    <xdr:sp macro="[0]!ConvertNew" textlink="">
      <xdr:nvSpPr>
        <xdr:cNvPr id="3" name="Left-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534150" y="450850"/>
          <a:ext cx="5327650" cy="2330450"/>
        </a:xfrm>
        <a:prstGeom prst="leftRightArrow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 prstMaterial="metal">
            <a:bevelT w="88900" h="38100" prst="relaxedInset"/>
            <a:bevelB w="25400"/>
          </a:sp3d>
        </a:bodyPr>
        <a:lstStyle/>
        <a:p>
          <a:pPr algn="ctr"/>
          <a:r>
            <a:rPr lang="en-US" sz="3200">
              <a:effectLst>
                <a:glow rad="50800">
                  <a:schemeClr val="accent2"/>
                </a:glow>
              </a:effectLst>
            </a:rPr>
            <a:t>CONVERT</a:t>
          </a:r>
          <a:r>
            <a:rPr lang="en-US" sz="3200" baseline="0">
              <a:effectLst>
                <a:glow rad="50800">
                  <a:schemeClr val="accent2"/>
                </a:glow>
              </a:effectLst>
            </a:rPr>
            <a:t> CSV TO QFX</a:t>
          </a:r>
          <a:endParaRPr lang="en-US" sz="3200">
            <a:effectLst>
              <a:glow rad="50800">
                <a:schemeClr val="accent2"/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ABDF1EC-BCC8-4243-B050-37A30802BC75}">
  <we:reference id="wa104099688" version="1.3.0.0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4" sqref="B4"/>
    </sheetView>
  </sheetViews>
  <sheetFormatPr defaultRowHeight="14.5"/>
  <cols>
    <col min="1" max="1" width="10.453125" style="3" bestFit="1" customWidth="1"/>
    <col min="2" max="2" width="90.7265625" bestFit="1" customWidth="1"/>
    <col min="3" max="3" width="11.81640625" bestFit="1" customWidth="1"/>
    <col min="4" max="4" width="7.54296875" bestFit="1" customWidth="1"/>
    <col min="5" max="5" width="13.08984375" style="1" bestFit="1" customWidth="1"/>
    <col min="6" max="6" width="15.54296875" bestFit="1" customWidth="1"/>
    <col min="7" max="7" width="13.6328125" bestFit="1" customWidth="1"/>
    <col min="8" max="8" width="50.90625" bestFit="1" customWidth="1"/>
  </cols>
  <sheetData>
    <row r="1" spans="1:8">
      <c r="A1" s="3" t="s">
        <v>59</v>
      </c>
      <c r="B1" t="s">
        <v>60</v>
      </c>
      <c r="C1" t="s">
        <v>61</v>
      </c>
      <c r="D1" t="s">
        <v>62</v>
      </c>
      <c r="E1" s="1" t="s">
        <v>63</v>
      </c>
      <c r="G1" t="s">
        <v>67</v>
      </c>
      <c r="H1" t="s">
        <v>68</v>
      </c>
    </row>
    <row r="3" spans="1:8">
      <c r="A3" s="14">
        <v>42937</v>
      </c>
      <c r="B3" s="13" t="s">
        <v>70</v>
      </c>
      <c r="C3" s="13" t="str">
        <f>TEXT(4776143,0)</f>
        <v>4776143</v>
      </c>
      <c r="D3" s="13">
        <v>-30.23</v>
      </c>
      <c r="E3" s="13" t="s">
        <v>64</v>
      </c>
      <c r="F3" t="s">
        <v>65</v>
      </c>
      <c r="G3" t="b">
        <f>ISNUMBER(DATEVALUE(LEFT(B3,10)))</f>
        <v>0</v>
      </c>
      <c r="H3" t="s">
        <v>66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tabSelected="1" workbookViewId="0">
      <selection activeCell="A32" sqref="A32"/>
    </sheetView>
  </sheetViews>
  <sheetFormatPr defaultRowHeight="14.5"/>
  <cols>
    <col min="1" max="1" width="88.36328125" bestFit="1" customWidth="1"/>
    <col min="2" max="2" width="49.36328125" bestFit="1" customWidth="1"/>
    <col min="3" max="3" width="32.36328125" bestFit="1" customWidth="1"/>
    <col min="4" max="4" width="19" bestFit="1" customWidth="1"/>
    <col min="5" max="5" width="19" customWidth="1"/>
    <col min="6" max="6" width="26.54296875" bestFit="1" customWidth="1"/>
    <col min="7" max="7" width="41.08984375" bestFit="1" customWidth="1"/>
    <col min="8" max="8" width="29.54296875" bestFit="1" customWidth="1"/>
  </cols>
  <sheetData>
    <row r="1" spans="1:4">
      <c r="A1" s="5" t="s">
        <v>24</v>
      </c>
      <c r="B1" s="7" t="s">
        <v>46</v>
      </c>
      <c r="C1" s="7"/>
    </row>
    <row r="2" spans="1:4">
      <c r="A2" s="5" t="s">
        <v>25</v>
      </c>
      <c r="B2" s="8">
        <v>1510559684</v>
      </c>
      <c r="C2" s="7" t="str">
        <f ca="1">CONCATENATE("&lt;FITID&gt;R",YEAR(TODAY()),MONTH(TODAY()),DAY(TODAY()),B2+1)</f>
        <v>&lt;FITID&gt;R20177281510559685</v>
      </c>
    </row>
    <row r="3" spans="1:4">
      <c r="A3" s="5" t="s">
        <v>26</v>
      </c>
      <c r="D3" s="6"/>
    </row>
    <row r="4" spans="1:4">
      <c r="A4" s="5" t="s">
        <v>27</v>
      </c>
      <c r="C4" s="4"/>
    </row>
    <row r="5" spans="1:4">
      <c r="A5" s="5" t="s">
        <v>28</v>
      </c>
    </row>
    <row r="6" spans="1:4">
      <c r="A6" s="5" t="s">
        <v>29</v>
      </c>
    </row>
    <row r="7" spans="1:4">
      <c r="A7" s="5" t="s">
        <v>30</v>
      </c>
    </row>
    <row r="8" spans="1:4">
      <c r="A8" s="5" t="s">
        <v>31</v>
      </c>
    </row>
    <row r="9" spans="1:4">
      <c r="A9" s="5" t="s">
        <v>32</v>
      </c>
    </row>
    <row r="10" spans="1:4">
      <c r="A10" s="5"/>
    </row>
    <row r="11" spans="1:4">
      <c r="A11" s="5" t="s">
        <v>0</v>
      </c>
    </row>
    <row r="12" spans="1:4">
      <c r="A12" s="5" t="s">
        <v>1</v>
      </c>
    </row>
    <row r="13" spans="1:4">
      <c r="A13" s="5" t="s">
        <v>2</v>
      </c>
    </row>
    <row r="14" spans="1:4">
      <c r="A14" s="5" t="s">
        <v>3</v>
      </c>
    </row>
    <row r="15" spans="1:4">
      <c r="A15" s="5" t="s">
        <v>4</v>
      </c>
    </row>
    <row r="16" spans="1:4">
      <c r="A16" s="5" t="s">
        <v>5</v>
      </c>
    </row>
    <row r="17" spans="1:6">
      <c r="A17" s="5" t="s">
        <v>33</v>
      </c>
      <c r="B17" t="s">
        <v>50</v>
      </c>
      <c r="C17" t="str">
        <f ca="1">CONCATENATE(D17,E17,F17)</f>
        <v>20170728</v>
      </c>
      <c r="D17">
        <f ca="1">YEAR(TODAY())</f>
        <v>2017</v>
      </c>
      <c r="E17" s="10" t="str">
        <f ca="1">IF(MONTH(TODAY())&lt;10,CONCATENATE(0,MONTH(TODAY())),MONTH(TODAY()))</f>
        <v>07</v>
      </c>
      <c r="F17" s="9">
        <f ca="1">IF(DAY(TODAY())&lt;10,CONCATENATE(0,DAY(TODAY())),DAY(TODAY()))</f>
        <v>28</v>
      </c>
    </row>
    <row r="18" spans="1:6">
      <c r="A18" s="5" t="s">
        <v>6</v>
      </c>
      <c r="B18" t="s">
        <v>51</v>
      </c>
      <c r="C18" t="str">
        <f>CONCATENATE(D18,E18,F18)</f>
        <v>20170721</v>
      </c>
      <c r="D18" s="1">
        <f>YEAR(CSV!A3)</f>
        <v>2017</v>
      </c>
      <c r="E18" t="str">
        <f>IF(MONTH(CSV!A3)&lt;10,CONCATENATE(0,MONTH(CSV!A3)),MONTH(CSV!#REF!))</f>
        <v>07</v>
      </c>
      <c r="F18">
        <f>IF(DAY(CSV!A3)&lt;10,CONCATENATE(0,DAY(CSV!A3)),DAY(CSV!A3))</f>
        <v>21</v>
      </c>
    </row>
    <row r="19" spans="1:6">
      <c r="A19" s="5" t="str">
        <f ca="1">CONCATENATE("&lt;DTSERVER&gt;",C17,"151055.000[-6]")</f>
        <v>&lt;DTSERVER&gt;20170728151055.000[-6]</v>
      </c>
      <c r="B19" t="s">
        <v>52</v>
      </c>
      <c r="C19" t="str">
        <f>CONCATENATE(D19,E19,F19)</f>
        <v>20170721</v>
      </c>
      <c r="D19">
        <f>YEAR(INDEX(CSV!A:A,COUNTA(CSV!A:A)+1))</f>
        <v>2017</v>
      </c>
      <c r="E19" s="12" t="str">
        <f>IF(MONTH(INDEX(CSV!A:A,COUNTA(CSV!A:A)+1))&lt;10,CONCATENATE(0,MONTH(INDEX(CSV!A:A,COUNTA(CSV!A:A)+1))),MONTH(INDEX(CSV!A:A,COUNTA(CSV!A:A)+1)))</f>
        <v>07</v>
      </c>
      <c r="F19" s="15" t="str">
        <f>IF(DAY(INDEX(CSV!A:A,COUNTA(CSV!A:A)+1))&lt;10,CONCATENATE(0,DAY(INDEX(CSV!A:A,COUNTA(CSV!A:A)+1))),CONCATENATE(DAY(INDEX(CSV!A:A,COUNTA(CSV!A:A)+1))))</f>
        <v>21</v>
      </c>
    </row>
    <row r="20" spans="1:6">
      <c r="A20" s="5" t="s">
        <v>34</v>
      </c>
    </row>
    <row r="21" spans="1:6">
      <c r="A21" s="5" t="s">
        <v>35</v>
      </c>
      <c r="C21" s="11"/>
      <c r="D21" s="1"/>
    </row>
    <row r="22" spans="1:6" s="1" customFormat="1">
      <c r="A22" s="5" t="s">
        <v>7</v>
      </c>
      <c r="F22"/>
    </row>
    <row r="23" spans="1:6">
      <c r="A23" s="5" t="s">
        <v>8</v>
      </c>
    </row>
    <row r="24" spans="1:6">
      <c r="A24" s="5" t="s">
        <v>9</v>
      </c>
    </row>
    <row r="25" spans="1:6">
      <c r="A25" s="5" t="s">
        <v>10</v>
      </c>
    </row>
    <row r="26" spans="1:6" s="1" customFormat="1">
      <c r="A26" s="5" t="s">
        <v>36</v>
      </c>
    </row>
    <row r="27" spans="1:6">
      <c r="A27" s="5" t="s">
        <v>3</v>
      </c>
    </row>
    <row r="28" spans="1:6">
      <c r="A28" s="5" t="s">
        <v>4</v>
      </c>
    </row>
    <row r="29" spans="1:6">
      <c r="A29" s="5" t="s">
        <v>5</v>
      </c>
    </row>
    <row r="30" spans="1:6">
      <c r="A30" s="5" t="s">
        <v>33</v>
      </c>
    </row>
    <row r="31" spans="1:6">
      <c r="A31" s="5" t="s">
        <v>6</v>
      </c>
    </row>
    <row r="32" spans="1:6">
      <c r="A32" s="5" t="s">
        <v>11</v>
      </c>
    </row>
    <row r="33" spans="1:2">
      <c r="A33" s="5" t="s">
        <v>41</v>
      </c>
      <c r="B33" t="s">
        <v>42</v>
      </c>
    </row>
    <row r="34" spans="1:2">
      <c r="A34" s="5" t="s">
        <v>12</v>
      </c>
    </row>
    <row r="35" spans="1:2">
      <c r="A35" s="5" t="s">
        <v>39</v>
      </c>
      <c r="B35" t="s">
        <v>43</v>
      </c>
    </row>
    <row r="36" spans="1:2">
      <c r="A36" s="5" t="s">
        <v>38</v>
      </c>
      <c r="B36" t="s">
        <v>47</v>
      </c>
    </row>
    <row r="37" spans="1:2">
      <c r="A37" s="5" t="s">
        <v>40</v>
      </c>
      <c r="B37" t="s">
        <v>44</v>
      </c>
    </row>
    <row r="38" spans="1:2">
      <c r="A38" s="5" t="s">
        <v>13</v>
      </c>
    </row>
    <row r="39" spans="1:2">
      <c r="A39" s="5" t="s">
        <v>14</v>
      </c>
    </row>
    <row r="40" spans="1:2">
      <c r="A40" s="5" t="str">
        <f>CONCATENATE("&lt;DTSTART&gt;",C18,130000,".000[-6]")</f>
        <v>&lt;DTSTART&gt;20170721130000.000[-6]</v>
      </c>
      <c r="B40" t="s">
        <v>45</v>
      </c>
    </row>
    <row r="41" spans="1:2">
      <c r="A41" s="5" t="str">
        <f>CONCATENATE("&lt;DTEND&gt;",C19,130000,".000[-6]")</f>
        <v>&lt;DTEND&gt;20170721130000.000[-6]</v>
      </c>
      <c r="B41" t="s">
        <v>45</v>
      </c>
    </row>
    <row r="42" spans="1:2">
      <c r="A42" s="2" t="s">
        <v>15</v>
      </c>
    </row>
    <row r="43" spans="1:2">
      <c r="A43" s="2" t="str">
        <f>IF(INDEX(CSV!D:D,((((ROW()+4)-45)/8)+3))&gt;0,"&lt;TRNTYPE&gt;CREDIT","&lt;TRNTYPE&gt;DEBIT")</f>
        <v>&lt;TRNTYPE&gt;DEBIT</v>
      </c>
      <c r="B43" t="s">
        <v>45</v>
      </c>
    </row>
    <row r="44" spans="1:2">
      <c r="A44" s="2" t="str">
        <f>CONCATENATE("&lt;DTPOSTED&gt;",YEAR(INDEX(CSV!A:A,((((ROW()+5)-44)/8)+3))),IF(MONTH(INDEX(CSV!A:A,((((ROW()+5)-44)/8)+3)))&lt;10,CONCATENATE(0,MONTH(INDEX(CSV!A:A,((((ROW()+5)-44)/8)+3)))),MONTH(INDEX(CSV!A:A,((((ROW()+5)-44)/8)+3)))),IF(DAY(INDEX(CSV!A:A,((((ROW()+5)-44)/8)+3)))&lt;10,CONCATENATE(0,DAY(INDEX(CSV!A:A,((((ROW()+5)-44)/8)+3)))),DAY(INDEX(CSV!A:A,((((ROW()+5)-44)/8)+3)))),130000,".000[-6]")</f>
        <v>&lt;DTPOSTED&gt;20170721130000.000[-6]</v>
      </c>
      <c r="B44" t="s">
        <v>45</v>
      </c>
    </row>
    <row r="45" spans="1:2">
      <c r="A45" s="2" t="str">
        <f>CONCATENATE("&lt;TRNAMT&gt;",INDEX(CSV!D:D,((((ROW()+4)-45)/8)+3)))</f>
        <v>&lt;TRNAMT&gt;-30.23</v>
      </c>
      <c r="B45" t="s">
        <v>45</v>
      </c>
    </row>
    <row r="46" spans="1:2">
      <c r="A46" s="2" t="s">
        <v>69</v>
      </c>
      <c r="B46" t="s">
        <v>49</v>
      </c>
    </row>
    <row r="47" spans="1:2">
      <c r="A47" s="2" t="str">
        <f>CONCATENATE("&lt;NAME&gt;",INDEX(CSV!B:B,((((ROW()+2)-48)/8)+3)))</f>
        <v xml:space="preserve">&lt;NAME&gt;Wal-Mart Super </v>
      </c>
      <c r="B47" t="s">
        <v>48</v>
      </c>
    </row>
    <row r="48" spans="1:2">
      <c r="A48" s="2" t="str">
        <f>CONCATENATE("&lt;MEMO&gt;",INDEX(CSV!C:C,((((ROW()+2)-48)/8)+3)))</f>
        <v>&lt;MEMO&gt;4776143</v>
      </c>
      <c r="B48" t="s">
        <v>45</v>
      </c>
    </row>
    <row r="49" spans="1:2">
      <c r="A49" s="2" t="s">
        <v>16</v>
      </c>
    </row>
    <row r="50" spans="1:2">
      <c r="A50" s="5" t="s">
        <v>17</v>
      </c>
    </row>
    <row r="51" spans="1:2">
      <c r="A51" s="5" t="s">
        <v>18</v>
      </c>
    </row>
    <row r="52" spans="1:2">
      <c r="A52" s="5" t="s">
        <v>37</v>
      </c>
    </row>
    <row r="53" spans="1:2">
      <c r="A53" s="5" t="str">
        <f>CONCATENATE("&lt;DTASOF&gt;",Template!$C$19,130000,".000[-6]")</f>
        <v>&lt;DTASOF&gt;20170721130000.000[-6]</v>
      </c>
      <c r="B53" t="s">
        <v>45</v>
      </c>
    </row>
    <row r="54" spans="1:2">
      <c r="A54" s="5" t="s">
        <v>19</v>
      </c>
    </row>
    <row r="55" spans="1:2">
      <c r="A55" s="5" t="s">
        <v>20</v>
      </c>
    </row>
    <row r="56" spans="1:2">
      <c r="A56" s="5" t="s">
        <v>21</v>
      </c>
    </row>
    <row r="57" spans="1:2">
      <c r="A57" s="5" t="s">
        <v>22</v>
      </c>
    </row>
    <row r="58" spans="1:2">
      <c r="A58" s="5" t="s">
        <v>23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0"/>
  <sheetViews>
    <sheetView showZeros="0" workbookViewId="0">
      <selection activeCell="A49" sqref="A49:A57"/>
    </sheetView>
  </sheetViews>
  <sheetFormatPr defaultRowHeight="14.5"/>
  <cols>
    <col min="1" max="1" width="32.1796875" bestFit="1" customWidth="1"/>
    <col min="2" max="2" width="34.08984375" bestFit="1" customWidth="1"/>
  </cols>
  <sheetData>
    <row r="1" spans="1:1">
      <c r="A1" s="5" t="s">
        <v>24</v>
      </c>
    </row>
    <row r="2" spans="1:1">
      <c r="A2" s="5" t="s">
        <v>25</v>
      </c>
    </row>
    <row r="3" spans="1:1">
      <c r="A3" s="5" t="s">
        <v>26</v>
      </c>
    </row>
    <row r="4" spans="1:1">
      <c r="A4" s="5" t="s">
        <v>27</v>
      </c>
    </row>
    <row r="5" spans="1:1">
      <c r="A5" s="5" t="s">
        <v>28</v>
      </c>
    </row>
    <row r="6" spans="1:1">
      <c r="A6" s="5" t="s">
        <v>29</v>
      </c>
    </row>
    <row r="7" spans="1:1">
      <c r="A7" s="5" t="s">
        <v>30</v>
      </c>
    </row>
    <row r="8" spans="1:1">
      <c r="A8" s="5" t="s">
        <v>31</v>
      </c>
    </row>
    <row r="9" spans="1:1">
      <c r="A9" s="5" t="s">
        <v>32</v>
      </c>
    </row>
    <row r="10" spans="1:1">
      <c r="A10" s="5"/>
    </row>
    <row r="11" spans="1:1">
      <c r="A11" s="5" t="s">
        <v>0</v>
      </c>
    </row>
    <row r="12" spans="1:1">
      <c r="A12" s="5" t="s">
        <v>1</v>
      </c>
    </row>
    <row r="13" spans="1:1">
      <c r="A13" s="5" t="s">
        <v>2</v>
      </c>
    </row>
    <row r="14" spans="1:1">
      <c r="A14" s="5" t="s">
        <v>3</v>
      </c>
    </row>
    <row r="15" spans="1:1">
      <c r="A15" s="5" t="s">
        <v>4</v>
      </c>
    </row>
    <row r="16" spans="1:1">
      <c r="A16" s="5" t="s">
        <v>5</v>
      </c>
    </row>
    <row r="17" spans="1:1">
      <c r="A17" s="5" t="s">
        <v>33</v>
      </c>
    </row>
    <row r="18" spans="1:1">
      <c r="A18" s="5" t="s">
        <v>6</v>
      </c>
    </row>
    <row r="19" spans="1:1">
      <c r="A19" s="5" t="s">
        <v>57</v>
      </c>
    </row>
    <row r="20" spans="1:1">
      <c r="A20" s="5" t="s">
        <v>34</v>
      </c>
    </row>
    <row r="21" spans="1:1">
      <c r="A21" s="5" t="s">
        <v>35</v>
      </c>
    </row>
    <row r="22" spans="1:1">
      <c r="A22" s="5" t="s">
        <v>7</v>
      </c>
    </row>
    <row r="23" spans="1:1">
      <c r="A23" s="5" t="s">
        <v>8</v>
      </c>
    </row>
    <row r="24" spans="1:1">
      <c r="A24" s="5" t="s">
        <v>9</v>
      </c>
    </row>
    <row r="25" spans="1:1">
      <c r="A25" s="5" t="s">
        <v>10</v>
      </c>
    </row>
    <row r="26" spans="1:1">
      <c r="A26" s="5" t="s">
        <v>36</v>
      </c>
    </row>
    <row r="27" spans="1:1">
      <c r="A27" s="5" t="s">
        <v>3</v>
      </c>
    </row>
    <row r="28" spans="1:1">
      <c r="A28" s="5" t="s">
        <v>4</v>
      </c>
    </row>
    <row r="29" spans="1:1">
      <c r="A29" s="5" t="s">
        <v>5</v>
      </c>
    </row>
    <row r="30" spans="1:1">
      <c r="A30" s="5" t="s">
        <v>33</v>
      </c>
    </row>
    <row r="31" spans="1:1">
      <c r="A31" s="5" t="s">
        <v>6</v>
      </c>
    </row>
    <row r="32" spans="1:1">
      <c r="A32" s="5" t="s">
        <v>11</v>
      </c>
    </row>
    <row r="33" spans="1:1">
      <c r="A33" s="5" t="s">
        <v>53</v>
      </c>
    </row>
    <row r="34" spans="1:1">
      <c r="A34" s="5" t="s">
        <v>12</v>
      </c>
    </row>
    <row r="35" spans="1:1">
      <c r="A35" s="5" t="s">
        <v>54</v>
      </c>
    </row>
    <row r="36" spans="1:1">
      <c r="A36" s="5" t="s">
        <v>55</v>
      </c>
    </row>
    <row r="37" spans="1:1">
      <c r="A37" s="5" t="s">
        <v>56</v>
      </c>
    </row>
    <row r="38" spans="1:1">
      <c r="A38" s="5" t="s">
        <v>13</v>
      </c>
    </row>
    <row r="39" spans="1:1">
      <c r="A39" s="5" t="s">
        <v>14</v>
      </c>
    </row>
    <row r="40" spans="1:1">
      <c r="A40" s="5" t="s">
        <v>58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CSV</vt:lpstr>
      <vt:lpstr>Template</vt:lpstr>
      <vt:lpstr>Converted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 Hawk</dc:creator>
  <cp:lastModifiedBy>Scott Ulmer</cp:lastModifiedBy>
  <dcterms:created xsi:type="dcterms:W3CDTF">2016-11-12T01:09:26Z</dcterms:created>
  <dcterms:modified xsi:type="dcterms:W3CDTF">2017-07-28T20:55:36Z</dcterms:modified>
</cp:coreProperties>
</file>