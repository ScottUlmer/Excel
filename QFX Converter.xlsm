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4320" windowHeight="12740" activeTab="4" xr2:uid="{05434590-ABF7-4E91-9BAE-0127C07530B5}"/>
  </bookViews>
  <sheets>
    <sheet name="Main" sheetId="3" r:id="rId1"/>
    <sheet name="Accounts" sheetId="1" r:id="rId2"/>
    <sheet name="Import" sheetId="5" r:id="rId3"/>
    <sheet name="Converted" sheetId="6" r:id="rId4"/>
    <sheet name="Sheet1" sheetId="7" r:id="rId5"/>
  </sheets>
  <functionGroups builtInGroupCount="19"/>
  <definedNames>
    <definedName name="ExternalData_1" localSheetId="0" hidden="1">Main!$A$29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Ulmer</author>
  </authors>
  <commentList>
    <comment ref="A1" authorId="0" shapeId="0" xr:uid="{83E835F8-0DDF-48CC-A614-7F93C1F50DE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Name for you to identify this account
 "Scott's Checking"</t>
        </r>
      </text>
    </comment>
    <comment ref="B1" authorId="0" shapeId="0" xr:uid="{626DA0D8-5684-4B05-BBE0-C2BC82A266DB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up to 17 digits</t>
        </r>
      </text>
    </comment>
    <comment ref="C1" authorId="0" shapeId="0" xr:uid="{FD3CC31B-5F71-4A5A-AFFF-3140104F321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9 digits</t>
        </r>
      </text>
    </comment>
    <comment ref="D1" authorId="0" shapeId="0" xr:uid="{4CDDEC25-218F-4FE2-A720-F93CB1C3EDB5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Code not symbol.
Example: USD not $</t>
        </r>
      </text>
    </comment>
    <comment ref="E1" authorId="0" shapeId="0" xr:uid="{5E9AC91B-07D7-47DC-B234-FFC4F435A5F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Case sensitive:
CHECKING
SAVINGS
CREDIT CARD
CREDITLINE
INVESTMENT</t>
        </r>
      </text>
    </comment>
    <comment ref="F1" authorId="0" shapeId="0" xr:uid="{DD999151-1D95-4724-89A7-E678326786B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Column that ONLY has the date</t>
        </r>
      </text>
    </comment>
    <comment ref="G1" authorId="0" shapeId="0" xr:uid="{E7E88117-6A98-4DC5-A0C3-41067F6E1511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The real description</t>
        </r>
      </text>
    </comment>
    <comment ref="H1" authorId="0" shapeId="0" xr:uid="{F0B6B401-0145-42D9-98AD-F86EE7585A4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Can be same as long, but normally is not. It is usually an odd number, or a shorter version of the long description.</t>
        </r>
      </text>
    </comment>
    <comment ref="I1" authorId="0" shapeId="0" xr:uid="{0D140CCC-E810-4A62-8ADF-5B3ED9E5F65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Charges</t>
        </r>
      </text>
    </comment>
    <comment ref="J1" authorId="0" shapeId="0" xr:uid="{2D5328A4-F297-4AF3-BC88-B4D94905C5B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Income</t>
        </r>
      </text>
    </comment>
    <comment ref="L1" authorId="0" shapeId="0" xr:uid="{9759BAD2-72C7-4341-BBDA-710208A8E6DD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Transaction ID, only used so you do not dupe entries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  <connection id="2" xr16:uid="{00000000-0015-0000-FFFF-FFFF01000000}" keepAlive="1" name="Query - QFX%20Converter (2)" description="Connection to the 'QFX%20Converter (2)' query in the workbook." type="5" refreshedVersion="6" background="1" refreshOnLoad="1" saveData="1">
    <dbPr connection="Provider=Microsoft.Mashup.OleDb.1;Data Source=$Workbook$;Location=QFX%20Converter (2);Extended Properties=&quot;&quot;" command="SELECT * FROM [QFX%20Converter (2)]"/>
  </connection>
</connections>
</file>

<file path=xl/sharedStrings.xml><?xml version="1.0" encoding="utf-8"?>
<sst xmlns="http://schemas.openxmlformats.org/spreadsheetml/2006/main" count="576" uniqueCount="257">
  <si>
    <t>Account</t>
  </si>
  <si>
    <t>Account Number</t>
  </si>
  <si>
    <t>Bank ID</t>
  </si>
  <si>
    <t>Currency</t>
  </si>
  <si>
    <t>Account Type</t>
  </si>
  <si>
    <t>Dates</t>
  </si>
  <si>
    <t>Long Description</t>
  </si>
  <si>
    <t>Short Description</t>
  </si>
  <si>
    <t>Debits</t>
  </si>
  <si>
    <t>Credits</t>
  </si>
  <si>
    <t>Auto-Updates</t>
  </si>
  <si>
    <t>Workbook Version</t>
  </si>
  <si>
    <t>2</t>
  </si>
  <si>
    <t>CHECKING</t>
  </si>
  <si>
    <t>https://www.youtube.com/channel/UCGZYqBIv0zORbZDRhrEhsnA?view_as=subscriber</t>
  </si>
  <si>
    <t>Bug Fixes</t>
  </si>
  <si>
    <t>Enhancements</t>
  </si>
  <si>
    <t>Release Notes (0.3.0)</t>
  </si>
  <si>
    <t>#</t>
  </si>
  <si>
    <t>Added customization to macro to allow for deviation from my banks set-up</t>
  </si>
  <si>
    <t>Starting column can now be adjusted</t>
  </si>
  <si>
    <t>Blank rows after starting row can now be adjusted</t>
  </si>
  <si>
    <t>To Subscribe:</t>
  </si>
  <si>
    <t>http://www.youtube.com/subscription_center?add_user=ScottAUlmer</t>
  </si>
  <si>
    <t xml:space="preserve">YouTube channel: </t>
  </si>
  <si>
    <t>TranID</t>
  </si>
  <si>
    <t>Scott's Checking</t>
  </si>
  <si>
    <t>USD</t>
  </si>
  <si>
    <t>A</t>
  </si>
  <si>
    <t>B</t>
  </si>
  <si>
    <t>C</t>
  </si>
  <si>
    <t>D</t>
  </si>
  <si>
    <t>https://1drv.ms/f/s!AsoEVAi18zs6lFKBNgNAjtKlHlyh</t>
  </si>
  <si>
    <t>CSV Logs</t>
  </si>
  <si>
    <t>Need Help?</t>
  </si>
  <si>
    <t>If you run into any issues, please "sanitize" your CSV and upload it to the CSV Logs link below. Then message me on my YouTube channel and I will take a look. Sanitize = change debit and credit amounts as well as location. All I need is the file structure intact and enough data to do a test run.</t>
  </si>
  <si>
    <t>Adding Accounts tab which allows users to have multiple accounts, and variable settings for each account</t>
  </si>
  <si>
    <t>How to Enable Macros</t>
  </si>
  <si>
    <t>https://support.office.com/en-us/article/Enable-or-disable-macros-in-Office-files-12b036fd-d140-4e74-b45e-16fed1a7e5c6</t>
  </si>
  <si>
    <t>Download Link</t>
  </si>
  <si>
    <t>https://github.com/ScottUlmer/Excel/blob/master/QFX%20Converter.xlsm</t>
  </si>
  <si>
    <t>Notes</t>
  </si>
  <si>
    <t>Settings</t>
  </si>
  <si>
    <t>Created a userform to guide you through this process, you can still edit this data in the accounts tab</t>
  </si>
  <si>
    <t>Added comments on items to help guide users as well as clean up user-interface while keeping everything transparent</t>
  </si>
  <si>
    <t>Added links to upload CSVs for betting testing/feedback</t>
  </si>
  <si>
    <t>Added link to how to enable macros</t>
  </si>
  <si>
    <t>Online Version</t>
  </si>
  <si>
    <t>Auto-Export</t>
  </si>
  <si>
    <t>Yes</t>
  </si>
  <si>
    <t>Replace notepad part with output being saved in same folder as this macro as "Output.QFX"</t>
  </si>
  <si>
    <t>DoubleEntryStated</t>
  </si>
  <si>
    <t>Fixed columns changing due to version checking table changing width</t>
  </si>
  <si>
    <t>Added new account types, Credit Card, Credit Line, and Investment</t>
  </si>
  <si>
    <t>Fixed table header changing for version table</t>
  </si>
  <si>
    <t>Columns in different order/set-up can now be adjusted (example if credits and debits are in one or two columns)</t>
  </si>
  <si>
    <t>E</t>
  </si>
  <si>
    <t>Henry's Checking</t>
  </si>
  <si>
    <t>SAVINGS</t>
  </si>
  <si>
    <t>Tracy</t>
  </si>
  <si>
    <t>OFXHEADER:100</t>
  </si>
  <si>
    <t>DATA:OFXSGML</t>
  </si>
  <si>
    <t>VERSION:102</t>
  </si>
  <si>
    <t>SECURITY:NONE</t>
  </si>
  <si>
    <t>ENCODING:USASCII</t>
  </si>
  <si>
    <t>CHARSET:1252</t>
  </si>
  <si>
    <t>COMPRESSION:NONE</t>
  </si>
  <si>
    <t>OLDFILEUID:NONE</t>
  </si>
  <si>
    <t>NEWFILEUID:NONE</t>
  </si>
  <si>
    <t>&lt;OFX&gt;</t>
  </si>
  <si>
    <t>&lt;SIGNONMSGSRSV1&gt;</t>
  </si>
  <si>
    <t>&lt;SONRS&gt;</t>
  </si>
  <si>
    <t>&lt;STATUS&gt;</t>
  </si>
  <si>
    <t>&lt;CODE&gt;0</t>
  </si>
  <si>
    <t>&lt;SEVERITY&gt;INFO</t>
  </si>
  <si>
    <t>&lt;MESSAGE&gt;OK</t>
  </si>
  <si>
    <t>&lt;/STATUS&gt;</t>
  </si>
  <si>
    <t>&lt;LANGUAGE&gt;ENG</t>
  </si>
  <si>
    <t>&lt;INTU.BID&gt;3000</t>
  </si>
  <si>
    <t>&lt;/SONRS&gt;</t>
  </si>
  <si>
    <t>&lt;/SIGNONMSGSRSV1&gt;</t>
  </si>
  <si>
    <t>&lt;TRNUID&gt;0</t>
  </si>
  <si>
    <t>&lt;CURDEF&gt;USD</t>
  </si>
  <si>
    <t>&lt;ACCTID&gt;999999999999</t>
  </si>
  <si>
    <t>&lt;BANKTRANLIST&gt;</t>
  </si>
  <si>
    <t>&lt;STMTTRN&gt;</t>
  </si>
  <si>
    <t>&lt;/STMTTRN&gt;</t>
  </si>
  <si>
    <t>&lt;/BANKTRANLIST&gt;</t>
  </si>
  <si>
    <t>&lt;LEDGERBAL&gt;</t>
  </si>
  <si>
    <t>&lt;BALAMT&gt;0.00</t>
  </si>
  <si>
    <t>&lt;/LEDGERBAL&gt;</t>
  </si>
  <si>
    <t>&lt;/OFX&gt;</t>
  </si>
  <si>
    <t>CREDITCARD</t>
  </si>
  <si>
    <t>&lt;TRNTYPE&gt;DEBIT</t>
  </si>
  <si>
    <t>&lt;DTSERVER&gt;20180218203132.000[-6]</t>
  </si>
  <si>
    <t>&lt;INVSTMTMSGSRSV1&gt;</t>
  </si>
  <si>
    <t>&lt;INVSTMTTRNRS&gt;</t>
  </si>
  <si>
    <t>&lt;INVSTMTRS&gt;</t>
  </si>
  <si>
    <t>&lt;DTASOF&gt;20180218000000.000[-6]</t>
  </si>
  <si>
    <t>&lt;INVACCTFROM&gt;</t>
  </si>
  <si>
    <t>&lt;BROKERID&gt;1</t>
  </si>
  <si>
    <t>&lt;/INVACCTFROM&gt;</t>
  </si>
  <si>
    <t>&lt;INVTRANLIST&gt;</t>
  </si>
  <si>
    <t>&lt;DTSTART&gt;20180218000000.000[-6]</t>
  </si>
  <si>
    <t>&lt;DTEND&gt;20180218000000.000[-6]</t>
  </si>
  <si>
    <t>&lt;TRNTYPE&gt;CREDIT</t>
  </si>
  <si>
    <t>&lt;DTPOSTED&gt;20180218000000.000[-6]</t>
  </si>
  <si>
    <t>&lt;TRNAMT&gt;2500.00</t>
  </si>
  <si>
    <t>&lt;FITID&gt;R201802182031327291</t>
  </si>
  <si>
    <t>&lt;NAME&gt;No Payee</t>
  </si>
  <si>
    <t>&lt;TRNAMT&gt;27.55</t>
  </si>
  <si>
    <t>&lt;FITID&gt;R201802182031327292</t>
  </si>
  <si>
    <t>&lt;NAME&gt;LQD</t>
  </si>
  <si>
    <t>&lt;MEMO&gt;LQD</t>
  </si>
  <si>
    <t>&lt;TRNAMT&gt;18.78</t>
  </si>
  <si>
    <t>&lt;FITID&gt;R201802182031327293</t>
  </si>
  <si>
    <t>&lt;NAME&gt;SJNK</t>
  </si>
  <si>
    <t>&lt;MEMO&gt;SJNK</t>
  </si>
  <si>
    <t>&lt;TRNAMT&gt;8.03</t>
  </si>
  <si>
    <t>&lt;FITID&gt;R201802182031327294</t>
  </si>
  <si>
    <t>&lt;NAME&gt;TIP</t>
  </si>
  <si>
    <t>&lt;MEMO&gt;TIP</t>
  </si>
  <si>
    <t>&lt;TRNAMT&gt;8.24</t>
  </si>
  <si>
    <t>&lt;FITID&gt;R201802182031327295</t>
  </si>
  <si>
    <t>&lt;NAME&gt;VCSH</t>
  </si>
  <si>
    <t>&lt;MEMO&gt;VCSH</t>
  </si>
  <si>
    <t>&lt;TRNAMT&gt;43.02</t>
  </si>
  <si>
    <t>&lt;FITID&gt;R201802182031327296</t>
  </si>
  <si>
    <t>&lt;NAME&gt;VEA</t>
  </si>
  <si>
    <t>&lt;MEMO&gt;VEA</t>
  </si>
  <si>
    <t>&lt;TRNAMT&gt;12.66</t>
  </si>
  <si>
    <t>&lt;FITID&gt;R201802182031327297</t>
  </si>
  <si>
    <t>&lt;NAME&gt;VGIT</t>
  </si>
  <si>
    <t>&lt;MEMO&gt;VGIT</t>
  </si>
  <si>
    <t>&lt;TRNAMT&gt;13.25</t>
  </si>
  <si>
    <t>&lt;FITID&gt;R201802182031327298</t>
  </si>
  <si>
    <t>&lt;NAME&gt;VNQ</t>
  </si>
  <si>
    <t>&lt;MEMO&gt;VNQ</t>
  </si>
  <si>
    <t>&lt;TRNAMT&gt;52.88</t>
  </si>
  <si>
    <t>&lt;FITID&gt;R201802182031327299</t>
  </si>
  <si>
    <t>&lt;NAME&gt;VTI</t>
  </si>
  <si>
    <t>&lt;MEMO&gt;VTI</t>
  </si>
  <si>
    <t>&lt;TRNAMT&gt;8.73</t>
  </si>
  <si>
    <t>&lt;FITID&gt;R2018021820313272910</t>
  </si>
  <si>
    <t>&lt;NAME&gt;VWO</t>
  </si>
  <si>
    <t>&lt;MEMO&gt;VWO</t>
  </si>
  <si>
    <t>&lt;/INVTRANLIST&gt;</t>
  </si>
  <si>
    <t>&lt;/INVSTMTRS&gt;</t>
  </si>
  <si>
    <t>&lt;/INVSTMTTRNRS&gt;</t>
  </si>
  <si>
    <t>&lt;/INVSTMTMSGSRSV1&gt;</t>
  </si>
  <si>
    <t>&lt;SECLISTMSGSRSV1&gt;</t>
  </si>
  <si>
    <t>&lt;SECLIST&gt;</t>
  </si>
  <si>
    <t>&lt;/SECLIST&gt;</t>
  </si>
  <si>
    <t>&lt;/SECLISTMSGSRSV1&gt;</t>
  </si>
  <si>
    <t>12/23/2017 TARGET T-1842 8101 W 151st  ST Overland Park KS US TR:031749  RF:072908 TID:31842072</t>
  </si>
  <si>
    <t>KCP&amp;L AUTOPAY - 1440308721 PPD  EFT K</t>
  </si>
  <si>
    <t>12/26/2017 PAN ASIA MARKET OVERLAND  PARK KS US TR:061388 TID:29061388  PAN:1718 000 POSV: 0707</t>
  </si>
  <si>
    <t>12/26/2017 COSTCO WHSE #0369 OVERLAND  PARK KS US TR:008661 TID:0369013  PAN:1718 000 POSV: 070</t>
  </si>
  <si>
    <t>12/28/2017 COSTCO WHSE #0369 OVERLAND  PARK KS US TR:834674 TID:99036913  PAN:7738 000 POSV: 07</t>
  </si>
  <si>
    <t>12/28/2017 COSTCO WHSE #0369 OVERLAND  PARK KS US TR:814109 TID:99036913  PAN:7738 000 POSV: 07</t>
  </si>
  <si>
    <t>12/27/2017 COSTCO GAS #0369 OVERLAND  PARK KS US TR:042921 TID:0369011  PAN:1718 000 POSV: 0708</t>
  </si>
  <si>
    <t>12/27/2017 COSTCO WHSE #0369 OVERLAND  PARK KS US TR:005269 TID:0369013  PAN:1718 000 POSV: 070</t>
  </si>
  <si>
    <t>STATE STREET BAN - 1041867445 PPD  DIR DEP</t>
  </si>
  <si>
    <t>12/29/2017 MCDONALD'S F26547 KANSAS  CITY KS US TR:055237 TID:1 PAN:7738 000  POSV: 070973 5.48</t>
  </si>
  <si>
    <t>12/29/2017 MCDONALD'S F26547 KANSAS  CITY KS US TR:055236 TID:1 PAN:7738 000  POSV: 070972 4.60</t>
  </si>
  <si>
    <t>Dividend Posting</t>
  </si>
  <si>
    <t>12/31/2017 KRUEGER AMOCO OVERLAND PARK  KS US TR:255324 RF:000000255324  TID:15774601 PAN:7738</t>
  </si>
  <si>
    <t>JPMORGAN CHASE - 1000008113 PPD  CHASE ACH</t>
  </si>
  <si>
    <t>AMEX EPAYMENT - 0005000040 WEB  A9550 WEB R</t>
  </si>
  <si>
    <t>PAYPAL - PAYPALSD11 PPD  TRANSFER</t>
  </si>
  <si>
    <t>&lt;DTSERVER&gt;20180218203524</t>
  </si>
  <si>
    <t>&lt;BANKMSGSRSV1&gt;</t>
  </si>
  <si>
    <t>&lt;STMTTRNRS&gt;</t>
  </si>
  <si>
    <t>&lt;STMTRS&gt;</t>
  </si>
  <si>
    <t>&lt;BANKACCTFROM&gt;</t>
  </si>
  <si>
    <t>&lt;BANKID&gt;999999999</t>
  </si>
  <si>
    <t>&lt;ACCTTYPE&gt;CHECKING</t>
  </si>
  <si>
    <t>&lt;/BANKACCTFROM&gt;</t>
  </si>
  <si>
    <t>&lt;DTPOSTED&gt;20171223130000.000[-6]</t>
  </si>
  <si>
    <t>&lt;TRNAMT&gt;-175</t>
  </si>
  <si>
    <t>&lt;FITID&gt;R2018021820231948105</t>
  </si>
  <si>
    <t>&lt;NAME&gt;=TEXT(5024199,0)</t>
  </si>
  <si>
    <t>&lt;MEMO&gt;TARGET T-1842 8101 W 151st  ST Overland Park KS US</t>
  </si>
  <si>
    <t>&lt;DTPOSTED&gt;20171226130000.000[-6]</t>
  </si>
  <si>
    <t>&lt;TRNAMT&gt;-60.8</t>
  </si>
  <si>
    <t>&lt;FITID&gt;R2018021820231948106</t>
  </si>
  <si>
    <t>&lt;NAME&gt;=TEXT(5025233,0)</t>
  </si>
  <si>
    <t>&lt;MEMO&gt;KCP&amp;L AUTOPAY - 1440308721 PPD  EFT K</t>
  </si>
  <si>
    <t>&lt;DTPOSTED&gt;20171227130000.000[-6]</t>
  </si>
  <si>
    <t>&lt;TRNAMT&gt;-34.9</t>
  </si>
  <si>
    <t>&lt;FITID&gt;R2018021820231948107</t>
  </si>
  <si>
    <t>&lt;NAME&gt;=TEXT(5026601,0)</t>
  </si>
  <si>
    <t>&lt;MEMO&gt;PAN ASIA MARKET OVERLAND  PARK KS US TR:061388 TID</t>
  </si>
  <si>
    <t>&lt;TRNAMT&gt;-68.27</t>
  </si>
  <si>
    <t>&lt;FITID&gt;R2018021820231948108</t>
  </si>
  <si>
    <t>&lt;NAME&gt;=TEXT(5026063,0)</t>
  </si>
  <si>
    <t>&lt;MEMO&gt;COSTCO WHSE #0369 OVERLAND  PARK KS US TR:008661 T</t>
  </si>
  <si>
    <t>&lt;DTPOSTED&gt;20171228130000.000[-6]</t>
  </si>
  <si>
    <t>&lt;TRNAMT&gt;-10.02</t>
  </si>
  <si>
    <t>&lt;FITID&gt;R2018021820231948109</t>
  </si>
  <si>
    <t>&lt;NAME&gt;=TEXT(5027788,0)</t>
  </si>
  <si>
    <t>&lt;MEMO&gt;COSTCO WHSE #0369 OVERLAND  PARK KS US TR:834674 T</t>
  </si>
  <si>
    <t>&lt;TRNAMT&gt;-3.91</t>
  </si>
  <si>
    <t>&lt;FITID&gt;R2018021820231948110</t>
  </si>
  <si>
    <t>&lt;NAME&gt;=TEXT(5027721,0)</t>
  </si>
  <si>
    <t>&lt;MEMO&gt;COSTCO WHSE #0369 OVERLAND  PARK KS US TR:814109 T</t>
  </si>
  <si>
    <t>&lt;TRNAMT&gt;-13.04</t>
  </si>
  <si>
    <t>&lt;FITID&gt;R2018021820231948111</t>
  </si>
  <si>
    <t>&lt;NAME&gt;=TEXT(5027072,0)</t>
  </si>
  <si>
    <t>&lt;MEMO&gt;COSTCO GAS #0369 OVERLAND  PARK KS US TR:042921 TI</t>
  </si>
  <si>
    <t>&lt;TRNAMT&gt;-44.53</t>
  </si>
  <si>
    <t>&lt;FITID&gt;R2018021820231948112</t>
  </si>
  <si>
    <t>&lt;NAME&gt;=TEXT(5027032,0)</t>
  </si>
  <si>
    <t>&lt;MEMO&gt;COSTCO WHSE #0369 OVERLAND  PARK KS US TR:005269 T</t>
  </si>
  <si>
    <t>&lt;DTPOSTED&gt;20171229130000.000[-6]</t>
  </si>
  <si>
    <t>&lt;TRNAMT&gt;993.27</t>
  </si>
  <si>
    <t>&lt;FITID&gt;R2018021820231948113</t>
  </si>
  <si>
    <t>&lt;NAME&gt;=TEXT(5027971,0)</t>
  </si>
  <si>
    <t>&lt;MEMO&gt;STATE STREET BAN - 1041867445 PPD  DIR DEP</t>
  </si>
  <si>
    <t>&lt;DTPOSTED&gt;20171230130000.000[-6]</t>
  </si>
  <si>
    <t>&lt;TRNAMT&gt;-5.48</t>
  </si>
  <si>
    <t>&lt;FITID&gt;R2018021820231948114</t>
  </si>
  <si>
    <t>&lt;NAME&gt;=TEXT(5029392,0)</t>
  </si>
  <si>
    <t>&lt;MEMO&gt;MCDONALD'S F26547 KANSAS  CITY KS US TR:055237 TID</t>
  </si>
  <si>
    <t>&lt;TRNAMT&gt;-4.6</t>
  </si>
  <si>
    <t>&lt;FITID&gt;R2018021820231948115</t>
  </si>
  <si>
    <t>&lt;NAME&gt;=TEXT(5029391,0)</t>
  </si>
  <si>
    <t>&lt;MEMO&gt;MCDONALD'S F26547 KANSAS  CITY KS US TR:055236 TID</t>
  </si>
  <si>
    <t>&lt;DTPOSTED&gt;20171231130000.000[-6]</t>
  </si>
  <si>
    <t>&lt;TRNAMT&gt;0.92</t>
  </si>
  <si>
    <t>&lt;FITID&gt;R2018021820231948116</t>
  </si>
  <si>
    <t>&lt;NAME&gt;=TEXT(5053195,0)</t>
  </si>
  <si>
    <t>&lt;MEMO&gt;Dividend Posting</t>
  </si>
  <si>
    <t>&lt;TRNAMT&gt;-10.89</t>
  </si>
  <si>
    <t>&lt;FITID&gt;R2018021820231948117</t>
  </si>
  <si>
    <t>&lt;NAME&gt;=TEXT(5029519,0)</t>
  </si>
  <si>
    <t>&lt;MEMO&gt;KRUEGER AMOCO OVERLAND PARK  KS US TR:255324 RF:00</t>
  </si>
  <si>
    <t>&lt;DTPOSTED&gt;20180102130000.000[-6]</t>
  </si>
  <si>
    <t>&lt;TRNAMT&gt;-1819.79</t>
  </si>
  <si>
    <t>&lt;FITID&gt;R2018021820231948118</t>
  </si>
  <si>
    <t>&lt;NAME&gt;=TEXT(5054282,0)</t>
  </si>
  <si>
    <t>&lt;MEMO&gt;JPMORGAN CHASE - 1000008113 PPD  CHASE ACH</t>
  </si>
  <si>
    <t>&lt;TRNAMT&gt;-513.33</t>
  </si>
  <si>
    <t>&lt;FITID&gt;R2018021820231948119</t>
  </si>
  <si>
    <t>&lt;NAME&gt;=TEXT(5054281,0)</t>
  </si>
  <si>
    <t>&lt;MEMO&gt;AMEX EPAYMENT - 0005000040 WEB  A9550 WEB R</t>
  </si>
  <si>
    <t>&lt;DTPOSTED&gt;20180104130000.000[-6]</t>
  </si>
  <si>
    <t>&lt;TRNAMT&gt;360</t>
  </si>
  <si>
    <t>&lt;FITID&gt;R2018021820231948120</t>
  </si>
  <si>
    <t>&lt;NAME&gt;=TEXT(5056289,0)</t>
  </si>
  <si>
    <t>&lt;MEMO&gt;PAYPAL - PAYPALSD11 PPD  TRANSFER</t>
  </si>
  <si>
    <t>&lt;DTASOF&gt;20180104130000.000[-6]</t>
  </si>
  <si>
    <t>&lt;/STMTRS&gt;</t>
  </si>
  <si>
    <t>&lt;/STMTTRNRS&gt;</t>
  </si>
  <si>
    <t>&lt;/BANKMSGSRSV1&gt;</t>
  </si>
  <si>
    <t>&lt;DTSTART&gt;20171223</t>
  </si>
  <si>
    <t>&lt;DTEND&gt;20180104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</si>
</sst>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2" applyNumberFormat="0" applyAlignment="0" applyProtection="0"/>
  </cellStyleXfs>
  <cellXfs count="22">
    <xf numFmtId="0" fontId="0" fillId="0" borderId="0" xfId="0"/>
    <xf numFmtId="14" fontId="0" fillId="0" borderId="0" xfId="0" applyNumberFormat="1"/>
    <xf numFmtId="0" fontId="6" fillId="4" borderId="2" xfId="3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" fillId="3" borderId="0" xfId="0" applyFont="1" applyFill="1" applyProtection="1">
      <protection locked="0"/>
    </xf>
    <xf numFmtId="0" fontId="0" fillId="3" borderId="0" xfId="0" applyFont="1" applyFill="1" applyAlignment="1" applyProtection="1">
      <protection locked="0"/>
    </xf>
    <xf numFmtId="0" fontId="1" fillId="3" borderId="0" xfId="0" applyFont="1" applyFill="1" applyAlignme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5" fillId="0" borderId="0" xfId="2" applyFill="1" applyAlignment="1" applyProtection="1">
      <alignment vertical="center"/>
      <protection locked="0"/>
    </xf>
    <xf numFmtId="0" fontId="5" fillId="0" borderId="0" xfId="2" applyFill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2" fillId="6" borderId="0" xfId="1" applyFont="1" applyFill="1" applyAlignment="1" applyProtection="1">
      <alignment wrapText="1"/>
      <protection locked="0"/>
    </xf>
    <xf numFmtId="0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0" xfId="0" applyFill="1"/>
    <xf numFmtId="0" fontId="2" fillId="6" borderId="0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6" borderId="0" xfId="1" applyFont="1" applyFill="1" applyAlignment="1" applyProtection="1">
      <alignment horizontal="center" wrapText="1"/>
      <protection locked="0"/>
    </xf>
    <xf numFmtId="0" fontId="0" fillId="8" borderId="0" xfId="0" applyFill="1"/>
  </cellXfs>
  <cellStyles count="4">
    <cellStyle name="Accent1" xfId="1" builtinId="29"/>
    <cellStyle name="Hyperlink" xfId="2" builtinId="8"/>
    <cellStyle name="Input" xfId="3" builtinId="20"/>
    <cellStyle name="Normal" xfId="0" builtinId="0"/>
  </cellStyles>
  <dxfs count="7"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0</xdr:col>
      <xdr:colOff>1371600</xdr:colOff>
      <xdr:row>9</xdr:row>
      <xdr:rowOff>120305</xdr:rowOff>
    </xdr:to>
    <xdr:sp macro="[0]!ToggleSheets" textlink="">
      <xdr:nvSpPr>
        <xdr:cNvPr id="2" name="Rectangle: ShowTabs">
          <a:extLst>
            <a:ext uri="{FF2B5EF4-FFF2-40B4-BE49-F238E27FC236}">
              <a16:creationId xmlns:a16="http://schemas.microsoft.com/office/drawing/2014/main" id="{116040F2-2916-4D48-BAAB-68CDFEFD377F}"/>
            </a:ext>
          </a:extLst>
        </xdr:cNvPr>
        <xdr:cNvSpPr/>
      </xdr:nvSpPr>
      <xdr:spPr>
        <a:xfrm>
          <a:off x="0" y="1457739"/>
          <a:ext cx="1371600" cy="302523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ON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1371600</xdr:colOff>
      <xdr:row>3</xdr:row>
      <xdr:rowOff>119535</xdr:rowOff>
    </xdr:to>
    <xdr:sp macro="[0]!Import" textlink="">
      <xdr:nvSpPr>
        <xdr:cNvPr id="4" name="Rectangle: Beveled 3">
          <a:extLst>
            <a:ext uri="{FF2B5EF4-FFF2-40B4-BE49-F238E27FC236}">
              <a16:creationId xmlns:a16="http://schemas.microsoft.com/office/drawing/2014/main" id="{6DDE4C52-C597-4E4D-B6B9-AD6CD14913AA}"/>
            </a:ext>
          </a:extLst>
        </xdr:cNvPr>
        <xdr:cNvSpPr/>
      </xdr:nvSpPr>
      <xdr:spPr>
        <a:xfrm>
          <a:off x="0" y="364435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1371600</xdr:colOff>
      <xdr:row>6</xdr:row>
      <xdr:rowOff>119535</xdr:rowOff>
    </xdr:to>
    <xdr:sp macro="[0]!AccountSettings" textlink="">
      <xdr:nvSpPr>
        <xdr:cNvPr id="6" name="Rectangle: Beveled 5">
          <a:extLst>
            <a:ext uri="{FF2B5EF4-FFF2-40B4-BE49-F238E27FC236}">
              <a16:creationId xmlns:a16="http://schemas.microsoft.com/office/drawing/2014/main" id="{AE270C86-56BE-471D-913F-AE4CF4349B24}"/>
            </a:ext>
          </a:extLst>
        </xdr:cNvPr>
        <xdr:cNvSpPr/>
      </xdr:nvSpPr>
      <xdr:spPr>
        <a:xfrm>
          <a:off x="0" y="911087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Account Settings</a:t>
          </a:r>
        </a:p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1371600</xdr:colOff>
      <xdr:row>12</xdr:row>
      <xdr:rowOff>119534</xdr:rowOff>
    </xdr:to>
    <xdr:sp macro="[0]!AutoUpdateButtonClick" textlink="">
      <xdr:nvSpPr>
        <xdr:cNvPr id="9" name="Rectangle: Beveled 8">
          <a:extLst>
            <a:ext uri="{FF2B5EF4-FFF2-40B4-BE49-F238E27FC236}">
              <a16:creationId xmlns:a16="http://schemas.microsoft.com/office/drawing/2014/main" id="{3D7D257B-100D-4A79-BBB2-E303581899E2}"/>
            </a:ext>
          </a:extLst>
        </xdr:cNvPr>
        <xdr:cNvSpPr/>
      </xdr:nvSpPr>
      <xdr:spPr>
        <a:xfrm>
          <a:off x="0" y="2004391"/>
          <a:ext cx="1371600" cy="301752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refreshOnLoad="1" adjustColumnWidth="0" connectionId="2" xr16:uid="{00000000-0016-0000-0000-000000000000}" autoFormatId="16" applyNumberFormats="0" applyBorderFormats="0" applyFontFormats="0" applyPatternFormats="0" applyAlignmentFormats="0" applyWidthHeightFormats="0">
  <queryTableRefresh headersInLastRefresh="0"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A14640-A468-476C-B13A-F049CF2294DC}" name="QFX_20Converter" displayName="QFX_20Converter" ref="A29:B29" tableType="queryTable" headerRowCount="0" totalsRowShown="0" headerRowDxfId="6" dataDxfId="5">
  <tableColumns count="2">
    <tableColumn id="1" xr3:uid="{DD5FE3D8-CAAB-4358-88EB-3E92759E67ED}" uniqueName="1" name="Column1" queryTableFieldId="1" headerRowDxfId="4" dataDxfId="1"/>
    <tableColumn id="2" xr3:uid="{C8D69D42-392E-44E8-95D0-0351FACC4BB3}" uniqueName="2" name="Workbook Version" queryTableFieldId="2" headerRowDxfId="3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A7839F-B5D5-467E-9398-F3EB99FDE7FC}" name="Table2" displayName="Table2" ref="A1:L4" totalsRowShown="0">
  <autoFilter ref="A1:L4" xr:uid="{04F33A9A-9825-474B-8C76-C1EB018A02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069DDD0-539D-4616-BD31-4AA3E793D549}" name="Account"/>
    <tableColumn id="2" xr3:uid="{7C078629-FBDD-4397-8DE6-E2DAA536846F}" name="Account Number" dataDxfId="2"/>
    <tableColumn id="3" xr3:uid="{E7F7C721-3F7D-4E26-BAF4-BA93EB53321B}" name="Bank ID"/>
    <tableColumn id="4" xr3:uid="{1436276F-FA8B-49CF-B095-3143FF58B07C}" name="Currency"/>
    <tableColumn id="5" xr3:uid="{3EBA4EDA-3A24-4678-9882-2CC1B6008876}" name="Account Type"/>
    <tableColumn id="6" xr3:uid="{FC9B4839-2DD6-4C81-8867-665A52866813}" name="Dates"/>
    <tableColumn id="7" xr3:uid="{8104B7CF-A638-4D01-9D70-128377DD3849}" name="Long Description"/>
    <tableColumn id="8" xr3:uid="{120BC279-0891-4CC8-9F2C-6602AC07B705}" name="Short Description"/>
    <tableColumn id="9" xr3:uid="{0FF47A23-928D-4090-BE1D-9B87B8D7C2DA}" name="Debits"/>
    <tableColumn id="10" xr3:uid="{83D5BE08-5E95-4A3F-8547-282A09C08905}" name="Credits"/>
    <tableColumn id="14" xr3:uid="{7006C4E3-7D0A-43D4-895F-3AAAE7EC743C}" name="DoubleEntryStated"/>
    <tableColumn id="13" xr3:uid="{C182D3BB-5665-4BA5-8CA8-D7846BF97A4E}" name="Tra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1drv.ms/f/s!AsoEVAi18zs6lFKBNgNAjtKlHlyh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channel/UCGZYqBIv0zORbZDRhrEhsnA?view_as=subscriber" TargetMode="External"/><Relationship Id="rId1" Type="http://schemas.openxmlformats.org/officeDocument/2006/relationships/hyperlink" Target="http://www.youtube.com/subscription_center?add_user=ScottAUlmer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ScottUlmer/Excel/blob/master/QFX%20Converter.xlsm" TargetMode="External"/><Relationship Id="rId4" Type="http://schemas.openxmlformats.org/officeDocument/2006/relationships/hyperlink" Target="https://support.office.com/en-us/article/Enable-or-disable-macros-in-Office-files-12b036fd-d140-4e74-b45e-16fed1a7e5c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895C-4087-4565-82D4-3596BCC760D8}">
  <sheetPr codeName="Sheet1"/>
  <dimension ref="A1:B47"/>
  <sheetViews>
    <sheetView zoomScale="115" zoomScaleNormal="115" workbookViewId="0"/>
  </sheetViews>
  <sheetFormatPr defaultColWidth="9.1796875" defaultRowHeight="14.5" x14ac:dyDescent="0.35"/>
  <cols>
    <col min="1" max="1" width="19.7265625" style="7" bestFit="1" customWidth="1"/>
    <col min="2" max="2" width="113" style="7" bestFit="1" customWidth="1"/>
    <col min="3" max="3" width="9.1796875" style="7"/>
    <col min="4" max="4" width="2.81640625" style="7" bestFit="1" customWidth="1"/>
    <col min="5" max="16384" width="9.1796875" style="7"/>
  </cols>
  <sheetData>
    <row r="1" spans="1:2" x14ac:dyDescent="0.35">
      <c r="A1" s="8" t="s">
        <v>0</v>
      </c>
      <c r="B1" s="2" t="s">
        <v>26</v>
      </c>
    </row>
    <row r="15" spans="1:2" x14ac:dyDescent="0.35">
      <c r="A15" s="18" t="s">
        <v>42</v>
      </c>
      <c r="B15" s="19"/>
    </row>
    <row r="16" spans="1:2" x14ac:dyDescent="0.35">
      <c r="A16" s="8" t="s">
        <v>48</v>
      </c>
      <c r="B16" s="2" t="s">
        <v>49</v>
      </c>
    </row>
    <row r="17" spans="1:2" x14ac:dyDescent="0.35">
      <c r="A17" s="8" t="s">
        <v>10</v>
      </c>
      <c r="B17" s="2" t="s">
        <v>49</v>
      </c>
    </row>
    <row r="19" spans="1:2" x14ac:dyDescent="0.35">
      <c r="A19" s="18" t="s">
        <v>41</v>
      </c>
      <c r="B19" s="19"/>
    </row>
    <row r="20" spans="1:2" ht="43.5" x14ac:dyDescent="0.35">
      <c r="A20" s="3" t="s">
        <v>34</v>
      </c>
      <c r="B20" s="9" t="s">
        <v>35</v>
      </c>
    </row>
    <row r="21" spans="1:2" x14ac:dyDescent="0.35">
      <c r="A21" s="3" t="s">
        <v>33</v>
      </c>
      <c r="B21" s="10" t="s">
        <v>32</v>
      </c>
    </row>
    <row r="22" spans="1:2" x14ac:dyDescent="0.35">
      <c r="A22" s="3" t="s">
        <v>24</v>
      </c>
      <c r="B22" s="10" t="s">
        <v>14</v>
      </c>
    </row>
    <row r="23" spans="1:2" x14ac:dyDescent="0.35">
      <c r="A23" s="3" t="s">
        <v>22</v>
      </c>
      <c r="B23" s="10" t="s">
        <v>23</v>
      </c>
    </row>
    <row r="24" spans="1:2" x14ac:dyDescent="0.35">
      <c r="A24" s="3" t="s">
        <v>39</v>
      </c>
      <c r="B24" s="11" t="s">
        <v>40</v>
      </c>
    </row>
    <row r="26" spans="1:2" x14ac:dyDescent="0.35">
      <c r="A26" s="3" t="s">
        <v>37</v>
      </c>
      <c r="B26" s="11" t="s">
        <v>38</v>
      </c>
    </row>
    <row r="28" spans="1:2" x14ac:dyDescent="0.35">
      <c r="A28" s="13" t="s">
        <v>47</v>
      </c>
      <c r="B28" s="13" t="s">
        <v>11</v>
      </c>
    </row>
    <row r="29" spans="1:2" x14ac:dyDescent="0.35">
      <c r="A29" s="4" t="s">
        <v>12</v>
      </c>
      <c r="B29" s="4">
        <v>3</v>
      </c>
    </row>
    <row r="31" spans="1:2" ht="14.5" customHeight="1" x14ac:dyDescent="0.35">
      <c r="A31" s="20" t="s">
        <v>17</v>
      </c>
      <c r="B31" s="20"/>
    </row>
    <row r="32" spans="1:2" x14ac:dyDescent="0.35">
      <c r="A32" s="5" t="s">
        <v>18</v>
      </c>
      <c r="B32" s="6" t="s">
        <v>15</v>
      </c>
    </row>
    <row r="33" spans="1:2" x14ac:dyDescent="0.35">
      <c r="A33" s="12">
        <v>1</v>
      </c>
      <c r="B33" s="8" t="s">
        <v>50</v>
      </c>
    </row>
    <row r="34" spans="1:2" x14ac:dyDescent="0.35">
      <c r="A34" s="12">
        <v>2</v>
      </c>
      <c r="B34" s="8" t="s">
        <v>52</v>
      </c>
    </row>
    <row r="35" spans="1:2" x14ac:dyDescent="0.35">
      <c r="A35" s="12">
        <v>3</v>
      </c>
      <c r="B35" s="8" t="s">
        <v>54</v>
      </c>
    </row>
    <row r="37" spans="1:2" x14ac:dyDescent="0.35">
      <c r="A37" s="5" t="s">
        <v>18</v>
      </c>
      <c r="B37" s="6" t="s">
        <v>16</v>
      </c>
    </row>
    <row r="38" spans="1:2" x14ac:dyDescent="0.35">
      <c r="A38" s="12">
        <v>1</v>
      </c>
      <c r="B38" s="8" t="s">
        <v>44</v>
      </c>
    </row>
    <row r="39" spans="1:2" x14ac:dyDescent="0.35">
      <c r="A39" s="12">
        <v>2</v>
      </c>
      <c r="B39" s="8" t="s">
        <v>36</v>
      </c>
    </row>
    <row r="40" spans="1:2" x14ac:dyDescent="0.35">
      <c r="A40" s="12">
        <v>3</v>
      </c>
      <c r="B40" s="8" t="s">
        <v>19</v>
      </c>
    </row>
    <row r="41" spans="1:2" x14ac:dyDescent="0.35">
      <c r="A41" s="12">
        <v>3.1</v>
      </c>
      <c r="B41" s="8" t="s">
        <v>43</v>
      </c>
    </row>
    <row r="42" spans="1:2" x14ac:dyDescent="0.35">
      <c r="A42" s="12">
        <v>3.2</v>
      </c>
      <c r="B42" s="8" t="s">
        <v>20</v>
      </c>
    </row>
    <row r="43" spans="1:2" x14ac:dyDescent="0.35">
      <c r="A43" s="12">
        <v>3.3</v>
      </c>
      <c r="B43" s="8" t="s">
        <v>21</v>
      </c>
    </row>
    <row r="44" spans="1:2" x14ac:dyDescent="0.35">
      <c r="A44" s="12">
        <v>3.4</v>
      </c>
      <c r="B44" s="8" t="s">
        <v>55</v>
      </c>
    </row>
    <row r="45" spans="1:2" x14ac:dyDescent="0.35">
      <c r="A45" s="12">
        <v>4</v>
      </c>
      <c r="B45" s="8" t="s">
        <v>45</v>
      </c>
    </row>
    <row r="46" spans="1:2" x14ac:dyDescent="0.35">
      <c r="A46" s="12">
        <v>5</v>
      </c>
      <c r="B46" s="8" t="s">
        <v>46</v>
      </c>
    </row>
    <row r="47" spans="1:2" x14ac:dyDescent="0.35">
      <c r="A47" s="12">
        <v>6</v>
      </c>
      <c r="B47" s="8" t="s">
        <v>53</v>
      </c>
    </row>
  </sheetData>
  <sheetProtection formatCells="0" formatRows="0" insertColumns="0" insertRows="0" insertHyperlinks="0" deleteColumns="0" deleteRows="0" sort="0" autoFilter="0" pivotTables="0"/>
  <mergeCells count="3">
    <mergeCell ref="A15:B15"/>
    <mergeCell ref="A31:B31"/>
    <mergeCell ref="A19:B19"/>
  </mergeCells>
  <dataValidations count="1">
    <dataValidation type="list" allowBlank="1" showInputMessage="1" showErrorMessage="1" sqref="B16:B17" xr:uid="{D1C90345-5B4B-44E5-B743-B19657CB9FCD}">
      <formula1>"Yes,No"</formula1>
    </dataValidation>
  </dataValidations>
  <hyperlinks>
    <hyperlink ref="B23" r:id="rId1" xr:uid="{663D2ED0-882E-4738-ADB9-4BE1B5AF3FF5}"/>
    <hyperlink ref="B22" r:id="rId2" xr:uid="{D4CB6FE9-944D-4180-AB40-E35D786EE62B}"/>
    <hyperlink ref="B21" r:id="rId3" xr:uid="{343D94AA-F8AE-44E2-BBA8-6DC85E8AA93E}"/>
    <hyperlink ref="B26" r:id="rId4" xr:uid="{0D81B11B-5867-4852-886B-DC74E92D0C98}"/>
    <hyperlink ref="B24" r:id="rId5" xr:uid="{E505894D-4126-443F-9311-32FC6B137378}"/>
  </hyperlinks>
  <pageMargins left="0.7" right="0.7" top="0.75" bottom="0.75" header="0.3" footer="0.3"/>
  <pageSetup orientation="portrait" horizontalDpi="300" verticalDpi="300" r:id="rId6"/>
  <drawing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3A304-F651-46E3-8900-E60E07560FB6}">
          <x14:formula1>
            <xm:f>Accounts!$A$2:$A$93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1E15-A1EA-4C53-B71B-0D93EDF61ACA}">
  <sheetPr codeName="Sheet2"/>
  <dimension ref="A1:L4"/>
  <sheetViews>
    <sheetView workbookViewId="0">
      <selection activeCell="C17" sqref="C17"/>
    </sheetView>
  </sheetViews>
  <sheetFormatPr defaultRowHeight="14.5" x14ac:dyDescent="0.35"/>
  <cols>
    <col min="1" max="1" width="14.1796875" bestFit="1" customWidth="1"/>
    <col min="2" max="2" width="16.81640625" style="15" customWidth="1"/>
    <col min="3" max="3" width="9.81640625" bestFit="1" customWidth="1"/>
    <col min="4" max="4" width="10.26953125" customWidth="1"/>
    <col min="5" max="5" width="14.1796875" customWidth="1"/>
    <col min="7" max="7" width="16.7265625" customWidth="1"/>
    <col min="8" max="8" width="17.453125" customWidth="1"/>
    <col min="11" max="11" width="19.1796875" bestFit="1" customWidth="1"/>
  </cols>
  <sheetData>
    <row r="1" spans="1:12" x14ac:dyDescent="0.35">
      <c r="A1" t="s">
        <v>0</v>
      </c>
      <c r="B1" s="15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51</v>
      </c>
      <c r="L1" t="s">
        <v>25</v>
      </c>
    </row>
    <row r="2" spans="1:12" x14ac:dyDescent="0.35">
      <c r="A2" t="s">
        <v>26</v>
      </c>
      <c r="B2" s="15">
        <v>999999999999</v>
      </c>
      <c r="C2">
        <v>999999999</v>
      </c>
      <c r="D2" t="s">
        <v>27</v>
      </c>
      <c r="E2" t="s">
        <v>13</v>
      </c>
      <c r="F2" t="s">
        <v>28</v>
      </c>
      <c r="G2" t="s">
        <v>29</v>
      </c>
      <c r="H2" t="s">
        <v>30</v>
      </c>
      <c r="I2" t="s">
        <v>31</v>
      </c>
      <c r="J2" t="s">
        <v>31</v>
      </c>
      <c r="L2">
        <v>120</v>
      </c>
    </row>
    <row r="3" spans="1:12" x14ac:dyDescent="0.35">
      <c r="A3" t="s">
        <v>57</v>
      </c>
      <c r="B3" s="15">
        <v>12345678910</v>
      </c>
      <c r="C3">
        <v>123456789</v>
      </c>
      <c r="D3" t="s">
        <v>27</v>
      </c>
      <c r="E3" t="s">
        <v>58</v>
      </c>
      <c r="F3" t="s">
        <v>28</v>
      </c>
      <c r="G3" t="s">
        <v>30</v>
      </c>
      <c r="H3" t="s">
        <v>31</v>
      </c>
      <c r="I3" t="s">
        <v>29</v>
      </c>
      <c r="J3" t="s">
        <v>29</v>
      </c>
      <c r="K3" t="s">
        <v>56</v>
      </c>
      <c r="L3">
        <v>100</v>
      </c>
    </row>
    <row r="4" spans="1:12" x14ac:dyDescent="0.35">
      <c r="A4" t="s">
        <v>59</v>
      </c>
      <c r="B4" s="15">
        <v>999999999999</v>
      </c>
      <c r="C4">
        <v>999999999</v>
      </c>
      <c r="D4" t="s">
        <v>27</v>
      </c>
      <c r="E4" t="s">
        <v>92</v>
      </c>
      <c r="F4" t="s">
        <v>28</v>
      </c>
      <c r="G4" t="s">
        <v>29</v>
      </c>
      <c r="H4" t="s">
        <v>30</v>
      </c>
      <c r="I4" t="s">
        <v>31</v>
      </c>
      <c r="J4" t="s">
        <v>31</v>
      </c>
      <c r="L4">
        <v>149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19C9-CEF0-4172-B586-0D200B4066D0}">
  <sheetPr codeName="Sheet3"/>
  <dimension ref="A1:D17"/>
  <sheetViews>
    <sheetView workbookViewId="0">
      <selection sqref="A1:XFD1048576"/>
    </sheetView>
  </sheetViews>
  <sheetFormatPr defaultRowHeight="14.5" x14ac:dyDescent="0.35"/>
  <cols>
    <col min="1" max="1" width="10.7265625" bestFit="1" customWidth="1"/>
  </cols>
  <sheetData>
    <row r="1" spans="1:4" x14ac:dyDescent="0.35">
      <c r="A1" s="16">
        <v>43092</v>
      </c>
      <c r="B1" t="s">
        <v>154</v>
      </c>
      <c r="C1">
        <v>5024199</v>
      </c>
      <c r="D1">
        <v>-175</v>
      </c>
    </row>
    <row r="2" spans="1:4" x14ac:dyDescent="0.35">
      <c r="A2" s="16">
        <v>43095</v>
      </c>
      <c r="B2" t="s">
        <v>155</v>
      </c>
      <c r="C2">
        <v>5025233</v>
      </c>
      <c r="D2">
        <v>-60.8</v>
      </c>
    </row>
    <row r="3" spans="1:4" x14ac:dyDescent="0.35">
      <c r="A3" s="16">
        <v>43096</v>
      </c>
      <c r="B3" t="s">
        <v>156</v>
      </c>
      <c r="C3">
        <v>5026601</v>
      </c>
      <c r="D3">
        <v>-34.9</v>
      </c>
    </row>
    <row r="4" spans="1:4" x14ac:dyDescent="0.35">
      <c r="A4" s="16">
        <v>43096</v>
      </c>
      <c r="B4" t="s">
        <v>157</v>
      </c>
      <c r="C4">
        <v>5026063</v>
      </c>
      <c r="D4">
        <v>-68.27</v>
      </c>
    </row>
    <row r="5" spans="1:4" x14ac:dyDescent="0.35">
      <c r="A5" s="16">
        <v>43097</v>
      </c>
      <c r="B5" t="s">
        <v>158</v>
      </c>
      <c r="C5">
        <v>5027788</v>
      </c>
      <c r="D5">
        <v>-10.02</v>
      </c>
    </row>
    <row r="6" spans="1:4" x14ac:dyDescent="0.35">
      <c r="A6" s="16">
        <v>43097</v>
      </c>
      <c r="B6" t="s">
        <v>159</v>
      </c>
      <c r="C6">
        <v>5027721</v>
      </c>
      <c r="D6">
        <v>-3.91</v>
      </c>
    </row>
    <row r="7" spans="1:4" x14ac:dyDescent="0.35">
      <c r="A7" s="16">
        <v>43097</v>
      </c>
      <c r="B7" t="s">
        <v>160</v>
      </c>
      <c r="C7">
        <v>5027072</v>
      </c>
      <c r="D7">
        <v>-13.04</v>
      </c>
    </row>
    <row r="8" spans="1:4" x14ac:dyDescent="0.35">
      <c r="A8" s="16">
        <v>43097</v>
      </c>
      <c r="B8" t="s">
        <v>161</v>
      </c>
      <c r="C8">
        <v>5027032</v>
      </c>
      <c r="D8">
        <v>-44.53</v>
      </c>
    </row>
    <row r="9" spans="1:4" x14ac:dyDescent="0.35">
      <c r="A9" s="16">
        <v>43098</v>
      </c>
      <c r="B9" t="s">
        <v>162</v>
      </c>
      <c r="C9">
        <v>5027971</v>
      </c>
      <c r="D9">
        <v>993.27</v>
      </c>
    </row>
    <row r="10" spans="1:4" x14ac:dyDescent="0.35">
      <c r="A10" s="16">
        <v>43099</v>
      </c>
      <c r="B10" t="s">
        <v>163</v>
      </c>
      <c r="C10">
        <v>5029392</v>
      </c>
      <c r="D10">
        <v>-5.48</v>
      </c>
    </row>
    <row r="11" spans="1:4" x14ac:dyDescent="0.35">
      <c r="A11" s="16">
        <v>43099</v>
      </c>
      <c r="B11" t="s">
        <v>164</v>
      </c>
      <c r="C11">
        <v>5029391</v>
      </c>
      <c r="D11">
        <v>-4.5999999999999996</v>
      </c>
    </row>
    <row r="12" spans="1:4" x14ac:dyDescent="0.35">
      <c r="A12" s="16">
        <v>43100</v>
      </c>
      <c r="B12" t="s">
        <v>165</v>
      </c>
      <c r="C12">
        <v>5053195</v>
      </c>
      <c r="D12">
        <v>0.92</v>
      </c>
    </row>
    <row r="13" spans="1:4" x14ac:dyDescent="0.35">
      <c r="A13" s="16">
        <v>43100</v>
      </c>
      <c r="B13" t="s">
        <v>166</v>
      </c>
      <c r="C13">
        <v>5029519</v>
      </c>
      <c r="D13">
        <v>-10.89</v>
      </c>
    </row>
    <row r="14" spans="1:4" x14ac:dyDescent="0.35">
      <c r="A14" s="16">
        <v>43102</v>
      </c>
      <c r="B14" t="s">
        <v>167</v>
      </c>
      <c r="C14">
        <v>5054282</v>
      </c>
      <c r="D14">
        <v>-1819.79</v>
      </c>
    </row>
    <row r="15" spans="1:4" x14ac:dyDescent="0.35">
      <c r="A15" s="16">
        <v>43102</v>
      </c>
      <c r="B15" t="s">
        <v>168</v>
      </c>
      <c r="C15">
        <v>5054281</v>
      </c>
      <c r="D15">
        <v>-513.33000000000004</v>
      </c>
    </row>
    <row r="16" spans="1:4" x14ac:dyDescent="0.35">
      <c r="A16" s="16">
        <v>43104</v>
      </c>
      <c r="B16" t="s">
        <v>169</v>
      </c>
      <c r="C16">
        <v>5056289</v>
      </c>
      <c r="D16">
        <v>360</v>
      </c>
    </row>
    <row r="17" spans="1:1" x14ac:dyDescent="0.35">
      <c r="A17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6F3E-3287-4B0B-9579-F3ECE6B956E8}">
  <sheetPr codeName="Sheet4"/>
  <dimension ref="A1:D178"/>
  <sheetViews>
    <sheetView topLeftCell="A147" workbookViewId="0">
      <selection sqref="A1:A178"/>
    </sheetView>
  </sheetViews>
  <sheetFormatPr defaultRowHeight="14.5" x14ac:dyDescent="0.35"/>
  <cols>
    <col min="1" max="1" width="84.26953125" bestFit="1" customWidth="1"/>
    <col min="2" max="2" width="46.54296875" customWidth="1"/>
    <col min="3" max="3" width="9.1796875" style="14" customWidth="1"/>
    <col min="4" max="4" width="60.7265625" style="14" bestFit="1" customWidth="1"/>
  </cols>
  <sheetData>
    <row r="1" spans="1:1" x14ac:dyDescent="0.35">
      <c r="A1" t="s">
        <v>60</v>
      </c>
    </row>
    <row r="2" spans="1:1" x14ac:dyDescent="0.35">
      <c r="A2" t="s">
        <v>61</v>
      </c>
    </row>
    <row r="3" spans="1:1" x14ac:dyDescent="0.35">
      <c r="A3" t="s">
        <v>62</v>
      </c>
    </row>
    <row r="4" spans="1:1" x14ac:dyDescent="0.35">
      <c r="A4" t="s">
        <v>63</v>
      </c>
    </row>
    <row r="5" spans="1:1" x14ac:dyDescent="0.35">
      <c r="A5" t="s">
        <v>64</v>
      </c>
    </row>
    <row r="6" spans="1:1" x14ac:dyDescent="0.35">
      <c r="A6" s="1" t="s">
        <v>65</v>
      </c>
    </row>
    <row r="7" spans="1:1" x14ac:dyDescent="0.35">
      <c r="A7" s="1" t="s">
        <v>66</v>
      </c>
    </row>
    <row r="8" spans="1:1" x14ac:dyDescent="0.35">
      <c r="A8" s="1" t="s">
        <v>67</v>
      </c>
    </row>
    <row r="9" spans="1:1" x14ac:dyDescent="0.35">
      <c r="A9" s="1" t="s">
        <v>68</v>
      </c>
    </row>
    <row r="10" spans="1:1" x14ac:dyDescent="0.35">
      <c r="A10" s="1"/>
    </row>
    <row r="11" spans="1:1" x14ac:dyDescent="0.35">
      <c r="A11" s="1" t="s">
        <v>69</v>
      </c>
    </row>
    <row r="12" spans="1:1" x14ac:dyDescent="0.35">
      <c r="A12" s="1" t="s">
        <v>70</v>
      </c>
    </row>
    <row r="13" spans="1:1" x14ac:dyDescent="0.35">
      <c r="A13" s="1" t="s">
        <v>71</v>
      </c>
    </row>
    <row r="14" spans="1:1" x14ac:dyDescent="0.35">
      <c r="A14" s="1" t="s">
        <v>72</v>
      </c>
    </row>
    <row r="15" spans="1:1" x14ac:dyDescent="0.35">
      <c r="A15" s="1" t="s">
        <v>73</v>
      </c>
    </row>
    <row r="16" spans="1:1" x14ac:dyDescent="0.35">
      <c r="A16" s="1" t="s">
        <v>74</v>
      </c>
    </row>
    <row r="17" spans="1:1" x14ac:dyDescent="0.35">
      <c r="A17" s="1" t="s">
        <v>75</v>
      </c>
    </row>
    <row r="18" spans="1:1" x14ac:dyDescent="0.35">
      <c r="A18" s="1" t="s">
        <v>76</v>
      </c>
    </row>
    <row r="19" spans="1:1" x14ac:dyDescent="0.35">
      <c r="A19" s="1" t="s">
        <v>170</v>
      </c>
    </row>
    <row r="20" spans="1:1" x14ac:dyDescent="0.35">
      <c r="A20" s="1" t="s">
        <v>77</v>
      </c>
    </row>
    <row r="21" spans="1:1" x14ac:dyDescent="0.35">
      <c r="A21" s="1" t="s">
        <v>78</v>
      </c>
    </row>
    <row r="22" spans="1:1" x14ac:dyDescent="0.35">
      <c r="A22" t="s">
        <v>79</v>
      </c>
    </row>
    <row r="23" spans="1:1" x14ac:dyDescent="0.35">
      <c r="A23" t="s">
        <v>80</v>
      </c>
    </row>
    <row r="24" spans="1:1" x14ac:dyDescent="0.35">
      <c r="A24" t="s">
        <v>171</v>
      </c>
    </row>
    <row r="25" spans="1:1" x14ac:dyDescent="0.35">
      <c r="A25" t="s">
        <v>172</v>
      </c>
    </row>
    <row r="26" spans="1:1" x14ac:dyDescent="0.35">
      <c r="A26" t="s">
        <v>81</v>
      </c>
    </row>
    <row r="27" spans="1:1" x14ac:dyDescent="0.35">
      <c r="A27" t="s">
        <v>72</v>
      </c>
    </row>
    <row r="28" spans="1:1" x14ac:dyDescent="0.35">
      <c r="A28" t="s">
        <v>73</v>
      </c>
    </row>
    <row r="29" spans="1:1" x14ac:dyDescent="0.35">
      <c r="A29" t="s">
        <v>74</v>
      </c>
    </row>
    <row r="30" spans="1:1" x14ac:dyDescent="0.35">
      <c r="A30" t="s">
        <v>75</v>
      </c>
    </row>
    <row r="31" spans="1:1" x14ac:dyDescent="0.35">
      <c r="A31" t="s">
        <v>76</v>
      </c>
    </row>
    <row r="32" spans="1:1" x14ac:dyDescent="0.35">
      <c r="A32" t="s">
        <v>173</v>
      </c>
    </row>
    <row r="33" spans="1:1" x14ac:dyDescent="0.35">
      <c r="A33" t="s">
        <v>82</v>
      </c>
    </row>
    <row r="34" spans="1:1" x14ac:dyDescent="0.35">
      <c r="A34" t="s">
        <v>174</v>
      </c>
    </row>
    <row r="35" spans="1:1" x14ac:dyDescent="0.35">
      <c r="A35" t="s">
        <v>175</v>
      </c>
    </row>
    <row r="36" spans="1:1" x14ac:dyDescent="0.35">
      <c r="A36" t="s">
        <v>83</v>
      </c>
    </row>
    <row r="37" spans="1:1" x14ac:dyDescent="0.35">
      <c r="A37" t="s">
        <v>176</v>
      </c>
    </row>
    <row r="38" spans="1:1" x14ac:dyDescent="0.35">
      <c r="A38" t="s">
        <v>177</v>
      </c>
    </row>
    <row r="39" spans="1:1" x14ac:dyDescent="0.35">
      <c r="A39" t="s">
        <v>84</v>
      </c>
    </row>
    <row r="40" spans="1:1" x14ac:dyDescent="0.35">
      <c r="A40" t="s">
        <v>255</v>
      </c>
    </row>
    <row r="41" spans="1:1" x14ac:dyDescent="0.35">
      <c r="A41" t="s">
        <v>256</v>
      </c>
    </row>
    <row r="42" spans="1:1" x14ac:dyDescent="0.35">
      <c r="A42" t="s">
        <v>85</v>
      </c>
    </row>
    <row r="43" spans="1:1" x14ac:dyDescent="0.35">
      <c r="A43" t="s">
        <v>93</v>
      </c>
    </row>
    <row r="44" spans="1:1" x14ac:dyDescent="0.35">
      <c r="A44" t="s">
        <v>178</v>
      </c>
    </row>
    <row r="45" spans="1:1" x14ac:dyDescent="0.35">
      <c r="A45" t="s">
        <v>179</v>
      </c>
    </row>
    <row r="46" spans="1:1" x14ac:dyDescent="0.35">
      <c r="A46" t="s">
        <v>180</v>
      </c>
    </row>
    <row r="47" spans="1:1" x14ac:dyDescent="0.35">
      <c r="A47" t="s">
        <v>181</v>
      </c>
    </row>
    <row r="48" spans="1:1" x14ac:dyDescent="0.35">
      <c r="A48" t="s">
        <v>182</v>
      </c>
    </row>
    <row r="49" spans="1:1" x14ac:dyDescent="0.35">
      <c r="A49" t="s">
        <v>86</v>
      </c>
    </row>
    <row r="50" spans="1:1" x14ac:dyDescent="0.35">
      <c r="A50" t="s">
        <v>85</v>
      </c>
    </row>
    <row r="51" spans="1:1" x14ac:dyDescent="0.35">
      <c r="A51" t="s">
        <v>93</v>
      </c>
    </row>
    <row r="52" spans="1:1" x14ac:dyDescent="0.35">
      <c r="A52" t="s">
        <v>183</v>
      </c>
    </row>
    <row r="53" spans="1:1" x14ac:dyDescent="0.35">
      <c r="A53" t="s">
        <v>184</v>
      </c>
    </row>
    <row r="54" spans="1:1" x14ac:dyDescent="0.35">
      <c r="A54" t="s">
        <v>185</v>
      </c>
    </row>
    <row r="55" spans="1:1" x14ac:dyDescent="0.35">
      <c r="A55" t="s">
        <v>186</v>
      </c>
    </row>
    <row r="56" spans="1:1" x14ac:dyDescent="0.35">
      <c r="A56" t="s">
        <v>187</v>
      </c>
    </row>
    <row r="57" spans="1:1" x14ac:dyDescent="0.35">
      <c r="A57" t="s">
        <v>86</v>
      </c>
    </row>
    <row r="58" spans="1:1" x14ac:dyDescent="0.35">
      <c r="A58" t="s">
        <v>85</v>
      </c>
    </row>
    <row r="59" spans="1:1" x14ac:dyDescent="0.35">
      <c r="A59" t="s">
        <v>93</v>
      </c>
    </row>
    <row r="60" spans="1:1" x14ac:dyDescent="0.35">
      <c r="A60" t="s">
        <v>188</v>
      </c>
    </row>
    <row r="61" spans="1:1" x14ac:dyDescent="0.35">
      <c r="A61" t="s">
        <v>189</v>
      </c>
    </row>
    <row r="62" spans="1:1" x14ac:dyDescent="0.35">
      <c r="A62" t="s">
        <v>190</v>
      </c>
    </row>
    <row r="63" spans="1:1" x14ac:dyDescent="0.35">
      <c r="A63" t="s">
        <v>191</v>
      </c>
    </row>
    <row r="64" spans="1:1" x14ac:dyDescent="0.35">
      <c r="A64" t="s">
        <v>192</v>
      </c>
    </row>
    <row r="65" spans="1:1" x14ac:dyDescent="0.35">
      <c r="A65" t="s">
        <v>86</v>
      </c>
    </row>
    <row r="66" spans="1:1" x14ac:dyDescent="0.35">
      <c r="A66" t="s">
        <v>85</v>
      </c>
    </row>
    <row r="67" spans="1:1" x14ac:dyDescent="0.35">
      <c r="A67" t="s">
        <v>93</v>
      </c>
    </row>
    <row r="68" spans="1:1" x14ac:dyDescent="0.35">
      <c r="A68" t="s">
        <v>188</v>
      </c>
    </row>
    <row r="69" spans="1:1" x14ac:dyDescent="0.35">
      <c r="A69" t="s">
        <v>193</v>
      </c>
    </row>
    <row r="70" spans="1:1" x14ac:dyDescent="0.35">
      <c r="A70" t="s">
        <v>194</v>
      </c>
    </row>
    <row r="71" spans="1:1" x14ac:dyDescent="0.35">
      <c r="A71" t="s">
        <v>195</v>
      </c>
    </row>
    <row r="72" spans="1:1" x14ac:dyDescent="0.35">
      <c r="A72" t="s">
        <v>196</v>
      </c>
    </row>
    <row r="73" spans="1:1" x14ac:dyDescent="0.35">
      <c r="A73" t="s">
        <v>86</v>
      </c>
    </row>
    <row r="74" spans="1:1" x14ac:dyDescent="0.35">
      <c r="A74" t="s">
        <v>85</v>
      </c>
    </row>
    <row r="75" spans="1:1" x14ac:dyDescent="0.35">
      <c r="A75" t="s">
        <v>93</v>
      </c>
    </row>
    <row r="76" spans="1:1" x14ac:dyDescent="0.35">
      <c r="A76" t="s">
        <v>197</v>
      </c>
    </row>
    <row r="77" spans="1:1" x14ac:dyDescent="0.35">
      <c r="A77" t="s">
        <v>198</v>
      </c>
    </row>
    <row r="78" spans="1:1" x14ac:dyDescent="0.35">
      <c r="A78" t="s">
        <v>199</v>
      </c>
    </row>
    <row r="79" spans="1:1" x14ac:dyDescent="0.35">
      <c r="A79" t="s">
        <v>200</v>
      </c>
    </row>
    <row r="80" spans="1:1" x14ac:dyDescent="0.35">
      <c r="A80" t="s">
        <v>201</v>
      </c>
    </row>
    <row r="81" spans="1:1" x14ac:dyDescent="0.35">
      <c r="A81" t="s">
        <v>86</v>
      </c>
    </row>
    <row r="82" spans="1:1" x14ac:dyDescent="0.35">
      <c r="A82" t="s">
        <v>85</v>
      </c>
    </row>
    <row r="83" spans="1:1" x14ac:dyDescent="0.35">
      <c r="A83" t="s">
        <v>93</v>
      </c>
    </row>
    <row r="84" spans="1:1" x14ac:dyDescent="0.35">
      <c r="A84" t="s">
        <v>197</v>
      </c>
    </row>
    <row r="85" spans="1:1" x14ac:dyDescent="0.35">
      <c r="A85" t="s">
        <v>202</v>
      </c>
    </row>
    <row r="86" spans="1:1" x14ac:dyDescent="0.35">
      <c r="A86" t="s">
        <v>203</v>
      </c>
    </row>
    <row r="87" spans="1:1" x14ac:dyDescent="0.35">
      <c r="A87" t="s">
        <v>204</v>
      </c>
    </row>
    <row r="88" spans="1:1" x14ac:dyDescent="0.35">
      <c r="A88" t="s">
        <v>205</v>
      </c>
    </row>
    <row r="89" spans="1:1" x14ac:dyDescent="0.35">
      <c r="A89" t="s">
        <v>86</v>
      </c>
    </row>
    <row r="90" spans="1:1" x14ac:dyDescent="0.35">
      <c r="A90" t="s">
        <v>85</v>
      </c>
    </row>
    <row r="91" spans="1:1" x14ac:dyDescent="0.35">
      <c r="A91" t="s">
        <v>93</v>
      </c>
    </row>
    <row r="92" spans="1:1" x14ac:dyDescent="0.35">
      <c r="A92" t="s">
        <v>197</v>
      </c>
    </row>
    <row r="93" spans="1:1" x14ac:dyDescent="0.35">
      <c r="A93" t="s">
        <v>206</v>
      </c>
    </row>
    <row r="94" spans="1:1" x14ac:dyDescent="0.35">
      <c r="A94" t="s">
        <v>207</v>
      </c>
    </row>
    <row r="95" spans="1:1" x14ac:dyDescent="0.35">
      <c r="A95" t="s">
        <v>208</v>
      </c>
    </row>
    <row r="96" spans="1:1" x14ac:dyDescent="0.35">
      <c r="A96" t="s">
        <v>209</v>
      </c>
    </row>
    <row r="97" spans="1:1" x14ac:dyDescent="0.35">
      <c r="A97" t="s">
        <v>86</v>
      </c>
    </row>
    <row r="98" spans="1:1" x14ac:dyDescent="0.35">
      <c r="A98" t="s">
        <v>85</v>
      </c>
    </row>
    <row r="99" spans="1:1" x14ac:dyDescent="0.35">
      <c r="A99" t="s">
        <v>93</v>
      </c>
    </row>
    <row r="100" spans="1:1" x14ac:dyDescent="0.35">
      <c r="A100" t="s">
        <v>197</v>
      </c>
    </row>
    <row r="101" spans="1:1" x14ac:dyDescent="0.35">
      <c r="A101" t="s">
        <v>210</v>
      </c>
    </row>
    <row r="102" spans="1:1" x14ac:dyDescent="0.35">
      <c r="A102" t="s">
        <v>211</v>
      </c>
    </row>
    <row r="103" spans="1:1" x14ac:dyDescent="0.35">
      <c r="A103" t="s">
        <v>212</v>
      </c>
    </row>
    <row r="104" spans="1:1" x14ac:dyDescent="0.35">
      <c r="A104" t="s">
        <v>213</v>
      </c>
    </row>
    <row r="105" spans="1:1" x14ac:dyDescent="0.35">
      <c r="A105" t="s">
        <v>86</v>
      </c>
    </row>
    <row r="106" spans="1:1" x14ac:dyDescent="0.35">
      <c r="A106" t="s">
        <v>85</v>
      </c>
    </row>
    <row r="107" spans="1:1" x14ac:dyDescent="0.35">
      <c r="A107" t="s">
        <v>105</v>
      </c>
    </row>
    <row r="108" spans="1:1" x14ac:dyDescent="0.35">
      <c r="A108" t="s">
        <v>214</v>
      </c>
    </row>
    <row r="109" spans="1:1" x14ac:dyDescent="0.35">
      <c r="A109" t="s">
        <v>215</v>
      </c>
    </row>
    <row r="110" spans="1:1" x14ac:dyDescent="0.35">
      <c r="A110" t="s">
        <v>216</v>
      </c>
    </row>
    <row r="111" spans="1:1" x14ac:dyDescent="0.35">
      <c r="A111" t="s">
        <v>217</v>
      </c>
    </row>
    <row r="112" spans="1:1" x14ac:dyDescent="0.35">
      <c r="A112" t="s">
        <v>218</v>
      </c>
    </row>
    <row r="113" spans="1:1" x14ac:dyDescent="0.35">
      <c r="A113" t="s">
        <v>86</v>
      </c>
    </row>
    <row r="114" spans="1:1" x14ac:dyDescent="0.35">
      <c r="A114" t="s">
        <v>85</v>
      </c>
    </row>
    <row r="115" spans="1:1" x14ac:dyDescent="0.35">
      <c r="A115" t="s">
        <v>93</v>
      </c>
    </row>
    <row r="116" spans="1:1" x14ac:dyDescent="0.35">
      <c r="A116" t="s">
        <v>219</v>
      </c>
    </row>
    <row r="117" spans="1:1" x14ac:dyDescent="0.35">
      <c r="A117" t="s">
        <v>220</v>
      </c>
    </row>
    <row r="118" spans="1:1" x14ac:dyDescent="0.35">
      <c r="A118" t="s">
        <v>221</v>
      </c>
    </row>
    <row r="119" spans="1:1" x14ac:dyDescent="0.35">
      <c r="A119" t="s">
        <v>222</v>
      </c>
    </row>
    <row r="120" spans="1:1" x14ac:dyDescent="0.35">
      <c r="A120" t="s">
        <v>223</v>
      </c>
    </row>
    <row r="121" spans="1:1" x14ac:dyDescent="0.35">
      <c r="A121" t="s">
        <v>86</v>
      </c>
    </row>
    <row r="122" spans="1:1" x14ac:dyDescent="0.35">
      <c r="A122" t="s">
        <v>85</v>
      </c>
    </row>
    <row r="123" spans="1:1" x14ac:dyDescent="0.35">
      <c r="A123" t="s">
        <v>93</v>
      </c>
    </row>
    <row r="124" spans="1:1" x14ac:dyDescent="0.35">
      <c r="A124" t="s">
        <v>219</v>
      </c>
    </row>
    <row r="125" spans="1:1" x14ac:dyDescent="0.35">
      <c r="A125" t="s">
        <v>224</v>
      </c>
    </row>
    <row r="126" spans="1:1" x14ac:dyDescent="0.35">
      <c r="A126" t="s">
        <v>225</v>
      </c>
    </row>
    <row r="127" spans="1:1" x14ac:dyDescent="0.35">
      <c r="A127" t="s">
        <v>226</v>
      </c>
    </row>
    <row r="128" spans="1:1" x14ac:dyDescent="0.35">
      <c r="A128" t="s">
        <v>227</v>
      </c>
    </row>
    <row r="129" spans="1:1" x14ac:dyDescent="0.35">
      <c r="A129" t="s">
        <v>86</v>
      </c>
    </row>
    <row r="130" spans="1:1" x14ac:dyDescent="0.35">
      <c r="A130" t="s">
        <v>85</v>
      </c>
    </row>
    <row r="131" spans="1:1" x14ac:dyDescent="0.35">
      <c r="A131" t="s">
        <v>105</v>
      </c>
    </row>
    <row r="132" spans="1:1" x14ac:dyDescent="0.35">
      <c r="A132" t="s">
        <v>228</v>
      </c>
    </row>
    <row r="133" spans="1:1" x14ac:dyDescent="0.35">
      <c r="A133" t="s">
        <v>229</v>
      </c>
    </row>
    <row r="134" spans="1:1" x14ac:dyDescent="0.35">
      <c r="A134" t="s">
        <v>230</v>
      </c>
    </row>
    <row r="135" spans="1:1" x14ac:dyDescent="0.35">
      <c r="A135" t="s">
        <v>231</v>
      </c>
    </row>
    <row r="136" spans="1:1" x14ac:dyDescent="0.35">
      <c r="A136" t="s">
        <v>232</v>
      </c>
    </row>
    <row r="137" spans="1:1" x14ac:dyDescent="0.35">
      <c r="A137" t="s">
        <v>86</v>
      </c>
    </row>
    <row r="138" spans="1:1" x14ac:dyDescent="0.35">
      <c r="A138" t="s">
        <v>85</v>
      </c>
    </row>
    <row r="139" spans="1:1" x14ac:dyDescent="0.35">
      <c r="A139" t="s">
        <v>93</v>
      </c>
    </row>
    <row r="140" spans="1:1" x14ac:dyDescent="0.35">
      <c r="A140" t="s">
        <v>228</v>
      </c>
    </row>
    <row r="141" spans="1:1" x14ac:dyDescent="0.35">
      <c r="A141" t="s">
        <v>233</v>
      </c>
    </row>
    <row r="142" spans="1:1" x14ac:dyDescent="0.35">
      <c r="A142" t="s">
        <v>234</v>
      </c>
    </row>
    <row r="143" spans="1:1" x14ac:dyDescent="0.35">
      <c r="A143" t="s">
        <v>235</v>
      </c>
    </row>
    <row r="144" spans="1:1" x14ac:dyDescent="0.35">
      <c r="A144" t="s">
        <v>236</v>
      </c>
    </row>
    <row r="145" spans="1:1" x14ac:dyDescent="0.35">
      <c r="A145" t="s">
        <v>86</v>
      </c>
    </row>
    <row r="146" spans="1:1" x14ac:dyDescent="0.35">
      <c r="A146" t="s">
        <v>85</v>
      </c>
    </row>
    <row r="147" spans="1:1" x14ac:dyDescent="0.35">
      <c r="A147" t="s">
        <v>93</v>
      </c>
    </row>
    <row r="148" spans="1:1" x14ac:dyDescent="0.35">
      <c r="A148" t="s">
        <v>237</v>
      </c>
    </row>
    <row r="149" spans="1:1" x14ac:dyDescent="0.35">
      <c r="A149" t="s">
        <v>238</v>
      </c>
    </row>
    <row r="150" spans="1:1" x14ac:dyDescent="0.35">
      <c r="A150" t="s">
        <v>239</v>
      </c>
    </row>
    <row r="151" spans="1:1" x14ac:dyDescent="0.35">
      <c r="A151" t="s">
        <v>240</v>
      </c>
    </row>
    <row r="152" spans="1:1" x14ac:dyDescent="0.35">
      <c r="A152" t="s">
        <v>241</v>
      </c>
    </row>
    <row r="153" spans="1:1" x14ac:dyDescent="0.35">
      <c r="A153" t="s">
        <v>86</v>
      </c>
    </row>
    <row r="154" spans="1:1" x14ac:dyDescent="0.35">
      <c r="A154" t="s">
        <v>85</v>
      </c>
    </row>
    <row r="155" spans="1:1" x14ac:dyDescent="0.35">
      <c r="A155" t="s">
        <v>93</v>
      </c>
    </row>
    <row r="156" spans="1:1" x14ac:dyDescent="0.35">
      <c r="A156" t="s">
        <v>237</v>
      </c>
    </row>
    <row r="157" spans="1:1" x14ac:dyDescent="0.35">
      <c r="A157" t="s">
        <v>242</v>
      </c>
    </row>
    <row r="158" spans="1:1" x14ac:dyDescent="0.35">
      <c r="A158" t="s">
        <v>243</v>
      </c>
    </row>
    <row r="159" spans="1:1" x14ac:dyDescent="0.35">
      <c r="A159" t="s">
        <v>244</v>
      </c>
    </row>
    <row r="160" spans="1:1" x14ac:dyDescent="0.35">
      <c r="A160" t="s">
        <v>245</v>
      </c>
    </row>
    <row r="161" spans="1:1" x14ac:dyDescent="0.35">
      <c r="A161" t="s">
        <v>86</v>
      </c>
    </row>
    <row r="162" spans="1:1" x14ac:dyDescent="0.35">
      <c r="A162" t="s">
        <v>85</v>
      </c>
    </row>
    <row r="163" spans="1:1" x14ac:dyDescent="0.35">
      <c r="A163" t="s">
        <v>105</v>
      </c>
    </row>
    <row r="164" spans="1:1" x14ac:dyDescent="0.35">
      <c r="A164" t="s">
        <v>246</v>
      </c>
    </row>
    <row r="165" spans="1:1" x14ac:dyDescent="0.35">
      <c r="A165" t="s">
        <v>247</v>
      </c>
    </row>
    <row r="166" spans="1:1" x14ac:dyDescent="0.35">
      <c r="A166" t="s">
        <v>248</v>
      </c>
    </row>
    <row r="167" spans="1:1" x14ac:dyDescent="0.35">
      <c r="A167" t="s">
        <v>249</v>
      </c>
    </row>
    <row r="168" spans="1:1" x14ac:dyDescent="0.35">
      <c r="A168" t="s">
        <v>250</v>
      </c>
    </row>
    <row r="169" spans="1:1" x14ac:dyDescent="0.35">
      <c r="A169" t="s">
        <v>86</v>
      </c>
    </row>
    <row r="170" spans="1:1" x14ac:dyDescent="0.35">
      <c r="A170" t="s">
        <v>87</v>
      </c>
    </row>
    <row r="171" spans="1:1" x14ac:dyDescent="0.35">
      <c r="A171" t="s">
        <v>88</v>
      </c>
    </row>
    <row r="172" spans="1:1" x14ac:dyDescent="0.35">
      <c r="A172" t="s">
        <v>89</v>
      </c>
    </row>
    <row r="173" spans="1:1" x14ac:dyDescent="0.35">
      <c r="A173" t="s">
        <v>251</v>
      </c>
    </row>
    <row r="174" spans="1:1" x14ac:dyDescent="0.35">
      <c r="A174" t="s">
        <v>90</v>
      </c>
    </row>
    <row r="175" spans="1:1" x14ac:dyDescent="0.35">
      <c r="A175" t="s">
        <v>252</v>
      </c>
    </row>
    <row r="176" spans="1:1" x14ac:dyDescent="0.35">
      <c r="A176" t="s">
        <v>253</v>
      </c>
    </row>
    <row r="177" spans="1:1" x14ac:dyDescent="0.35">
      <c r="A177" t="s">
        <v>254</v>
      </c>
    </row>
    <row r="178" spans="1:1" x14ac:dyDescent="0.35">
      <c r="A178" t="s">
        <v>91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F8568-6E0C-46DE-A27F-DFA88BB55DC2}">
  <sheetPr codeName="Sheet5"/>
  <dimension ref="A1:C178"/>
  <sheetViews>
    <sheetView tabSelected="1" workbookViewId="0">
      <selection activeCell="B24" sqref="B24:B25"/>
    </sheetView>
  </sheetViews>
  <sheetFormatPr defaultRowHeight="14.5" x14ac:dyDescent="0.35"/>
  <cols>
    <col min="1" max="2" width="33.54296875" bestFit="1" customWidth="1"/>
  </cols>
  <sheetData>
    <row r="1" spans="1:3" x14ac:dyDescent="0.35">
      <c r="A1" t="s">
        <v>60</v>
      </c>
      <c r="B1" t="s">
        <v>60</v>
      </c>
      <c r="C1" t="str">
        <f>IF(A1=B1,"","Review")</f>
        <v/>
      </c>
    </row>
    <row r="2" spans="1:3" x14ac:dyDescent="0.35">
      <c r="A2" s="1" t="s">
        <v>61</v>
      </c>
      <c r="B2" t="s">
        <v>61</v>
      </c>
      <c r="C2" t="str">
        <f t="shared" ref="C2:C32" si="0">IF(A2=B2,"","Review")</f>
        <v/>
      </c>
    </row>
    <row r="3" spans="1:3" x14ac:dyDescent="0.35">
      <c r="A3" s="1" t="s">
        <v>62</v>
      </c>
      <c r="B3" t="s">
        <v>62</v>
      </c>
      <c r="C3" t="str">
        <f t="shared" si="0"/>
        <v/>
      </c>
    </row>
    <row r="4" spans="1:3" x14ac:dyDescent="0.35">
      <c r="A4" s="1" t="s">
        <v>63</v>
      </c>
      <c r="B4" t="s">
        <v>63</v>
      </c>
      <c r="C4" t="str">
        <f t="shared" si="0"/>
        <v/>
      </c>
    </row>
    <row r="5" spans="1:3" x14ac:dyDescent="0.35">
      <c r="A5" s="1" t="s">
        <v>64</v>
      </c>
      <c r="B5" t="s">
        <v>64</v>
      </c>
      <c r="C5" t="str">
        <f t="shared" si="0"/>
        <v/>
      </c>
    </row>
    <row r="6" spans="1:3" x14ac:dyDescent="0.35">
      <c r="A6" s="1" t="s">
        <v>65</v>
      </c>
      <c r="B6" t="s">
        <v>65</v>
      </c>
      <c r="C6" t="str">
        <f t="shared" si="0"/>
        <v/>
      </c>
    </row>
    <row r="7" spans="1:3" x14ac:dyDescent="0.35">
      <c r="A7" s="1" t="s">
        <v>66</v>
      </c>
      <c r="B7" t="s">
        <v>66</v>
      </c>
      <c r="C7" t="str">
        <f t="shared" si="0"/>
        <v/>
      </c>
    </row>
    <row r="8" spans="1:3" x14ac:dyDescent="0.35">
      <c r="A8" s="1" t="s">
        <v>67</v>
      </c>
      <c r="B8" t="s">
        <v>67</v>
      </c>
      <c r="C8" t="str">
        <f t="shared" si="0"/>
        <v/>
      </c>
    </row>
    <row r="9" spans="1:3" x14ac:dyDescent="0.35">
      <c r="A9" t="s">
        <v>68</v>
      </c>
      <c r="B9" t="s">
        <v>68</v>
      </c>
      <c r="C9" t="str">
        <f t="shared" si="0"/>
        <v/>
      </c>
    </row>
    <row r="10" spans="1:3" x14ac:dyDescent="0.35">
      <c r="C10" t="str">
        <f t="shared" si="0"/>
        <v/>
      </c>
    </row>
    <row r="11" spans="1:3" x14ac:dyDescent="0.35">
      <c r="A11" t="s">
        <v>69</v>
      </c>
      <c r="B11" t="s">
        <v>69</v>
      </c>
      <c r="C11" t="str">
        <f t="shared" si="0"/>
        <v/>
      </c>
    </row>
    <row r="12" spans="1:3" x14ac:dyDescent="0.35">
      <c r="A12" t="s">
        <v>70</v>
      </c>
      <c r="B12" t="s">
        <v>70</v>
      </c>
      <c r="C12" t="str">
        <f t="shared" si="0"/>
        <v/>
      </c>
    </row>
    <row r="13" spans="1:3" x14ac:dyDescent="0.35">
      <c r="A13" t="s">
        <v>71</v>
      </c>
      <c r="B13" t="s">
        <v>71</v>
      </c>
      <c r="C13" t="str">
        <f t="shared" si="0"/>
        <v/>
      </c>
    </row>
    <row r="14" spans="1:3" x14ac:dyDescent="0.35">
      <c r="A14" t="s">
        <v>72</v>
      </c>
      <c r="B14" t="s">
        <v>72</v>
      </c>
      <c r="C14" t="str">
        <f t="shared" si="0"/>
        <v/>
      </c>
    </row>
    <row r="15" spans="1:3" x14ac:dyDescent="0.35">
      <c r="A15" t="s">
        <v>73</v>
      </c>
      <c r="B15" t="s">
        <v>73</v>
      </c>
      <c r="C15" t="str">
        <f t="shared" si="0"/>
        <v/>
      </c>
    </row>
    <row r="16" spans="1:3" x14ac:dyDescent="0.35">
      <c r="A16" t="s">
        <v>74</v>
      </c>
      <c r="B16" t="s">
        <v>74</v>
      </c>
      <c r="C16" t="str">
        <f t="shared" si="0"/>
        <v/>
      </c>
    </row>
    <row r="17" spans="1:3" x14ac:dyDescent="0.35">
      <c r="A17" t="s">
        <v>75</v>
      </c>
      <c r="B17" t="s">
        <v>75</v>
      </c>
      <c r="C17" t="str">
        <f t="shared" si="0"/>
        <v/>
      </c>
    </row>
    <row r="18" spans="1:3" x14ac:dyDescent="0.35">
      <c r="A18" t="s">
        <v>76</v>
      </c>
      <c r="B18" t="s">
        <v>76</v>
      </c>
      <c r="C18" t="str">
        <f t="shared" si="0"/>
        <v/>
      </c>
    </row>
    <row r="19" spans="1:3" x14ac:dyDescent="0.35">
      <c r="A19" t="s">
        <v>170</v>
      </c>
      <c r="B19" t="s">
        <v>94</v>
      </c>
      <c r="C19" t="str">
        <f t="shared" si="0"/>
        <v>Review</v>
      </c>
    </row>
    <row r="20" spans="1:3" x14ac:dyDescent="0.35">
      <c r="A20" t="s">
        <v>77</v>
      </c>
      <c r="B20" t="s">
        <v>77</v>
      </c>
      <c r="C20" t="str">
        <f t="shared" si="0"/>
        <v/>
      </c>
    </row>
    <row r="21" spans="1:3" x14ac:dyDescent="0.35">
      <c r="A21" t="s">
        <v>78</v>
      </c>
      <c r="B21" t="s">
        <v>78</v>
      </c>
      <c r="C21" t="str">
        <f t="shared" si="0"/>
        <v/>
      </c>
    </row>
    <row r="22" spans="1:3" x14ac:dyDescent="0.35">
      <c r="A22" t="s">
        <v>79</v>
      </c>
      <c r="B22" t="s">
        <v>79</v>
      </c>
      <c r="C22" t="str">
        <f t="shared" si="0"/>
        <v/>
      </c>
    </row>
    <row r="23" spans="1:3" x14ac:dyDescent="0.35">
      <c r="A23" t="s">
        <v>80</v>
      </c>
      <c r="B23" t="s">
        <v>80</v>
      </c>
      <c r="C23" t="str">
        <f t="shared" si="0"/>
        <v/>
      </c>
    </row>
    <row r="24" spans="1:3" x14ac:dyDescent="0.35">
      <c r="A24" t="s">
        <v>171</v>
      </c>
      <c r="B24" s="21" t="s">
        <v>95</v>
      </c>
      <c r="C24" t="str">
        <f t="shared" si="0"/>
        <v>Review</v>
      </c>
    </row>
    <row r="25" spans="1:3" x14ac:dyDescent="0.35">
      <c r="A25" t="s">
        <v>172</v>
      </c>
      <c r="B25" s="21" t="s">
        <v>96</v>
      </c>
      <c r="C25" t="str">
        <f t="shared" si="0"/>
        <v>Review</v>
      </c>
    </row>
    <row r="26" spans="1:3" x14ac:dyDescent="0.35">
      <c r="A26" t="s">
        <v>81</v>
      </c>
      <c r="B26" t="s">
        <v>81</v>
      </c>
      <c r="C26" t="str">
        <f t="shared" si="0"/>
        <v/>
      </c>
    </row>
    <row r="27" spans="1:3" x14ac:dyDescent="0.35">
      <c r="A27" t="s">
        <v>72</v>
      </c>
      <c r="B27" t="s">
        <v>72</v>
      </c>
      <c r="C27" t="str">
        <f t="shared" si="0"/>
        <v/>
      </c>
    </row>
    <row r="28" spans="1:3" x14ac:dyDescent="0.35">
      <c r="A28" t="s">
        <v>73</v>
      </c>
      <c r="B28" t="s">
        <v>73</v>
      </c>
      <c r="C28" t="str">
        <f t="shared" si="0"/>
        <v/>
      </c>
    </row>
    <row r="29" spans="1:3" x14ac:dyDescent="0.35">
      <c r="A29" t="s">
        <v>74</v>
      </c>
      <c r="B29" t="s">
        <v>74</v>
      </c>
      <c r="C29" t="str">
        <f t="shared" si="0"/>
        <v/>
      </c>
    </row>
    <row r="30" spans="1:3" x14ac:dyDescent="0.35">
      <c r="A30" t="s">
        <v>75</v>
      </c>
      <c r="B30" t="s">
        <v>75</v>
      </c>
      <c r="C30" t="str">
        <f t="shared" si="0"/>
        <v/>
      </c>
    </row>
    <row r="31" spans="1:3" x14ac:dyDescent="0.35">
      <c r="A31" t="s">
        <v>76</v>
      </c>
      <c r="B31" t="s">
        <v>76</v>
      </c>
      <c r="C31" t="str">
        <f t="shared" si="0"/>
        <v/>
      </c>
    </row>
    <row r="32" spans="1:3" x14ac:dyDescent="0.35">
      <c r="A32" t="s">
        <v>173</v>
      </c>
      <c r="B32" s="17" t="s">
        <v>97</v>
      </c>
      <c r="C32" t="str">
        <f t="shared" si="0"/>
        <v>Review</v>
      </c>
    </row>
    <row r="33" spans="1:3" x14ac:dyDescent="0.35">
      <c r="A33" s="17" t="s">
        <v>82</v>
      </c>
      <c r="B33" s="17" t="s">
        <v>98</v>
      </c>
      <c r="C33" t="str">
        <f t="shared" ref="C33:C64" si="1">IF(A34=B33,"","Review")</f>
        <v>Review</v>
      </c>
    </row>
    <row r="34" spans="1:3" x14ac:dyDescent="0.35">
      <c r="A34" s="17" t="s">
        <v>174</v>
      </c>
      <c r="B34" s="17" t="s">
        <v>82</v>
      </c>
      <c r="C34" t="str">
        <f t="shared" si="1"/>
        <v>Review</v>
      </c>
    </row>
    <row r="35" spans="1:3" x14ac:dyDescent="0.35">
      <c r="A35" s="17" t="s">
        <v>175</v>
      </c>
      <c r="B35" s="17" t="s">
        <v>99</v>
      </c>
      <c r="C35" t="str">
        <f t="shared" si="1"/>
        <v>Review</v>
      </c>
    </row>
    <row r="36" spans="1:3" x14ac:dyDescent="0.35">
      <c r="A36" s="17" t="s">
        <v>83</v>
      </c>
      <c r="B36" s="17" t="s">
        <v>100</v>
      </c>
      <c r="C36" t="str">
        <f t="shared" si="1"/>
        <v>Review</v>
      </c>
    </row>
    <row r="37" spans="1:3" x14ac:dyDescent="0.35">
      <c r="A37" s="17" t="s">
        <v>176</v>
      </c>
      <c r="B37" s="17" t="s">
        <v>83</v>
      </c>
      <c r="C37" t="str">
        <f t="shared" si="1"/>
        <v>Review</v>
      </c>
    </row>
    <row r="38" spans="1:3" x14ac:dyDescent="0.35">
      <c r="A38" s="17" t="s">
        <v>177</v>
      </c>
      <c r="B38" s="17" t="s">
        <v>101</v>
      </c>
      <c r="C38" t="str">
        <f t="shared" si="1"/>
        <v>Review</v>
      </c>
    </row>
    <row r="39" spans="1:3" x14ac:dyDescent="0.35">
      <c r="A39" s="17" t="s">
        <v>84</v>
      </c>
      <c r="B39" s="17" t="s">
        <v>102</v>
      </c>
      <c r="C39" t="str">
        <f t="shared" si="1"/>
        <v>Review</v>
      </c>
    </row>
    <row r="40" spans="1:3" x14ac:dyDescent="0.35">
      <c r="A40" t="s">
        <v>255</v>
      </c>
      <c r="B40" t="s">
        <v>103</v>
      </c>
      <c r="C40" t="str">
        <f t="shared" si="1"/>
        <v>Review</v>
      </c>
    </row>
    <row r="41" spans="1:3" x14ac:dyDescent="0.35">
      <c r="A41" t="s">
        <v>256</v>
      </c>
      <c r="B41" t="s">
        <v>104</v>
      </c>
      <c r="C41" t="str">
        <f t="shared" si="1"/>
        <v>Review</v>
      </c>
    </row>
    <row r="42" spans="1:3" x14ac:dyDescent="0.35">
      <c r="A42" t="s">
        <v>85</v>
      </c>
      <c r="B42" t="s">
        <v>85</v>
      </c>
      <c r="C42" t="str">
        <f t="shared" si="1"/>
        <v>Review</v>
      </c>
    </row>
    <row r="43" spans="1:3" x14ac:dyDescent="0.35">
      <c r="A43" t="s">
        <v>93</v>
      </c>
      <c r="B43" t="s">
        <v>105</v>
      </c>
      <c r="C43" t="str">
        <f t="shared" si="1"/>
        <v>Review</v>
      </c>
    </row>
    <row r="44" spans="1:3" x14ac:dyDescent="0.35">
      <c r="A44" t="s">
        <v>178</v>
      </c>
      <c r="B44" t="s">
        <v>106</v>
      </c>
      <c r="C44" t="str">
        <f t="shared" si="1"/>
        <v>Review</v>
      </c>
    </row>
    <row r="45" spans="1:3" x14ac:dyDescent="0.35">
      <c r="A45" t="s">
        <v>179</v>
      </c>
      <c r="B45" t="s">
        <v>107</v>
      </c>
      <c r="C45" t="str">
        <f t="shared" si="1"/>
        <v>Review</v>
      </c>
    </row>
    <row r="46" spans="1:3" x14ac:dyDescent="0.35">
      <c r="A46" t="s">
        <v>180</v>
      </c>
      <c r="B46" t="s">
        <v>108</v>
      </c>
      <c r="C46" t="str">
        <f t="shared" si="1"/>
        <v>Review</v>
      </c>
    </row>
    <row r="47" spans="1:3" x14ac:dyDescent="0.35">
      <c r="A47" t="s">
        <v>181</v>
      </c>
      <c r="B47" s="17" t="s">
        <v>109</v>
      </c>
      <c r="C47" t="str">
        <f t="shared" si="1"/>
        <v>Review</v>
      </c>
    </row>
    <row r="48" spans="1:3" x14ac:dyDescent="0.35">
      <c r="A48" t="s">
        <v>182</v>
      </c>
      <c r="B48" t="s">
        <v>86</v>
      </c>
      <c r="C48" t="str">
        <f t="shared" si="1"/>
        <v/>
      </c>
    </row>
    <row r="49" spans="1:3" x14ac:dyDescent="0.35">
      <c r="A49" t="s">
        <v>86</v>
      </c>
      <c r="B49" t="s">
        <v>85</v>
      </c>
      <c r="C49" t="str">
        <f t="shared" si="1"/>
        <v/>
      </c>
    </row>
    <row r="50" spans="1:3" x14ac:dyDescent="0.35">
      <c r="A50" t="s">
        <v>85</v>
      </c>
      <c r="B50" t="s">
        <v>105</v>
      </c>
      <c r="C50" t="str">
        <f t="shared" si="1"/>
        <v>Review</v>
      </c>
    </row>
    <row r="51" spans="1:3" x14ac:dyDescent="0.35">
      <c r="A51" t="s">
        <v>93</v>
      </c>
      <c r="B51" t="s">
        <v>106</v>
      </c>
      <c r="C51" t="str">
        <f t="shared" si="1"/>
        <v>Review</v>
      </c>
    </row>
    <row r="52" spans="1:3" x14ac:dyDescent="0.35">
      <c r="A52" t="s">
        <v>183</v>
      </c>
      <c r="B52" t="s">
        <v>110</v>
      </c>
      <c r="C52" t="str">
        <f t="shared" si="1"/>
        <v>Review</v>
      </c>
    </row>
    <row r="53" spans="1:3" x14ac:dyDescent="0.35">
      <c r="A53" t="s">
        <v>184</v>
      </c>
      <c r="B53" t="s">
        <v>111</v>
      </c>
      <c r="C53" t="str">
        <f t="shared" si="1"/>
        <v>Review</v>
      </c>
    </row>
    <row r="54" spans="1:3" x14ac:dyDescent="0.35">
      <c r="A54" t="s">
        <v>185</v>
      </c>
      <c r="B54" t="s">
        <v>112</v>
      </c>
      <c r="C54" t="str">
        <f t="shared" si="1"/>
        <v>Review</v>
      </c>
    </row>
    <row r="55" spans="1:3" x14ac:dyDescent="0.35">
      <c r="A55" t="s">
        <v>186</v>
      </c>
      <c r="B55" t="s">
        <v>113</v>
      </c>
      <c r="C55" t="str">
        <f t="shared" si="1"/>
        <v>Review</v>
      </c>
    </row>
    <row r="56" spans="1:3" x14ac:dyDescent="0.35">
      <c r="A56" t="s">
        <v>187</v>
      </c>
      <c r="B56" t="s">
        <v>86</v>
      </c>
      <c r="C56" t="str">
        <f t="shared" si="1"/>
        <v/>
      </c>
    </row>
    <row r="57" spans="1:3" x14ac:dyDescent="0.35">
      <c r="A57" t="s">
        <v>86</v>
      </c>
      <c r="B57" t="s">
        <v>85</v>
      </c>
      <c r="C57" t="str">
        <f t="shared" si="1"/>
        <v/>
      </c>
    </row>
    <row r="58" spans="1:3" x14ac:dyDescent="0.35">
      <c r="A58" t="s">
        <v>85</v>
      </c>
      <c r="B58" t="s">
        <v>105</v>
      </c>
      <c r="C58" t="str">
        <f t="shared" si="1"/>
        <v>Review</v>
      </c>
    </row>
    <row r="59" spans="1:3" x14ac:dyDescent="0.35">
      <c r="A59" t="s">
        <v>93</v>
      </c>
      <c r="B59" t="s">
        <v>106</v>
      </c>
      <c r="C59" t="str">
        <f t="shared" si="1"/>
        <v>Review</v>
      </c>
    </row>
    <row r="60" spans="1:3" x14ac:dyDescent="0.35">
      <c r="A60" t="s">
        <v>188</v>
      </c>
      <c r="B60" t="s">
        <v>114</v>
      </c>
      <c r="C60" t="str">
        <f t="shared" si="1"/>
        <v>Review</v>
      </c>
    </row>
    <row r="61" spans="1:3" x14ac:dyDescent="0.35">
      <c r="A61" t="s">
        <v>189</v>
      </c>
      <c r="B61" t="s">
        <v>115</v>
      </c>
      <c r="C61" t="str">
        <f t="shared" si="1"/>
        <v>Review</v>
      </c>
    </row>
    <row r="62" spans="1:3" x14ac:dyDescent="0.35">
      <c r="A62" t="s">
        <v>190</v>
      </c>
      <c r="B62" t="s">
        <v>116</v>
      </c>
      <c r="C62" t="str">
        <f t="shared" si="1"/>
        <v>Review</v>
      </c>
    </row>
    <row r="63" spans="1:3" x14ac:dyDescent="0.35">
      <c r="A63" t="s">
        <v>191</v>
      </c>
      <c r="B63" t="s">
        <v>117</v>
      </c>
      <c r="C63" t="str">
        <f t="shared" si="1"/>
        <v>Review</v>
      </c>
    </row>
    <row r="64" spans="1:3" x14ac:dyDescent="0.35">
      <c r="A64" t="s">
        <v>192</v>
      </c>
      <c r="B64" t="s">
        <v>86</v>
      </c>
      <c r="C64" t="str">
        <f t="shared" si="1"/>
        <v/>
      </c>
    </row>
    <row r="65" spans="1:3" x14ac:dyDescent="0.35">
      <c r="A65" t="s">
        <v>86</v>
      </c>
      <c r="B65" t="s">
        <v>85</v>
      </c>
      <c r="C65" t="str">
        <f t="shared" ref="C65:C96" si="2">IF(A66=B65,"","Review")</f>
        <v/>
      </c>
    </row>
    <row r="66" spans="1:3" x14ac:dyDescent="0.35">
      <c r="A66" t="s">
        <v>85</v>
      </c>
      <c r="B66" t="s">
        <v>105</v>
      </c>
      <c r="C66" t="str">
        <f t="shared" si="2"/>
        <v>Review</v>
      </c>
    </row>
    <row r="67" spans="1:3" x14ac:dyDescent="0.35">
      <c r="A67" t="s">
        <v>93</v>
      </c>
      <c r="B67" t="s">
        <v>106</v>
      </c>
      <c r="C67" t="str">
        <f t="shared" si="2"/>
        <v>Review</v>
      </c>
    </row>
    <row r="68" spans="1:3" x14ac:dyDescent="0.35">
      <c r="A68" t="s">
        <v>188</v>
      </c>
      <c r="B68" t="s">
        <v>118</v>
      </c>
      <c r="C68" t="str">
        <f t="shared" si="2"/>
        <v>Review</v>
      </c>
    </row>
    <row r="69" spans="1:3" x14ac:dyDescent="0.35">
      <c r="A69" t="s">
        <v>193</v>
      </c>
      <c r="B69" t="s">
        <v>119</v>
      </c>
      <c r="C69" t="str">
        <f t="shared" si="2"/>
        <v>Review</v>
      </c>
    </row>
    <row r="70" spans="1:3" x14ac:dyDescent="0.35">
      <c r="A70" t="s">
        <v>194</v>
      </c>
      <c r="B70" t="s">
        <v>120</v>
      </c>
      <c r="C70" t="str">
        <f t="shared" si="2"/>
        <v>Review</v>
      </c>
    </row>
    <row r="71" spans="1:3" x14ac:dyDescent="0.35">
      <c r="A71" t="s">
        <v>195</v>
      </c>
      <c r="B71" t="s">
        <v>121</v>
      </c>
      <c r="C71" t="str">
        <f t="shared" si="2"/>
        <v>Review</v>
      </c>
    </row>
    <row r="72" spans="1:3" x14ac:dyDescent="0.35">
      <c r="A72" t="s">
        <v>196</v>
      </c>
      <c r="B72" t="s">
        <v>86</v>
      </c>
      <c r="C72" t="str">
        <f t="shared" si="2"/>
        <v/>
      </c>
    </row>
    <row r="73" spans="1:3" x14ac:dyDescent="0.35">
      <c r="A73" t="s">
        <v>86</v>
      </c>
      <c r="B73" t="s">
        <v>85</v>
      </c>
      <c r="C73" t="str">
        <f t="shared" si="2"/>
        <v/>
      </c>
    </row>
    <row r="74" spans="1:3" x14ac:dyDescent="0.35">
      <c r="A74" t="s">
        <v>85</v>
      </c>
      <c r="B74" t="s">
        <v>105</v>
      </c>
      <c r="C74" t="str">
        <f t="shared" si="2"/>
        <v>Review</v>
      </c>
    </row>
    <row r="75" spans="1:3" x14ac:dyDescent="0.35">
      <c r="A75" t="s">
        <v>93</v>
      </c>
      <c r="B75" t="s">
        <v>106</v>
      </c>
      <c r="C75" t="str">
        <f t="shared" si="2"/>
        <v>Review</v>
      </c>
    </row>
    <row r="76" spans="1:3" x14ac:dyDescent="0.35">
      <c r="A76" t="s">
        <v>197</v>
      </c>
      <c r="B76" t="s">
        <v>122</v>
      </c>
      <c r="C76" t="str">
        <f t="shared" si="2"/>
        <v>Review</v>
      </c>
    </row>
    <row r="77" spans="1:3" x14ac:dyDescent="0.35">
      <c r="A77" t="s">
        <v>198</v>
      </c>
      <c r="B77" t="s">
        <v>123</v>
      </c>
      <c r="C77" t="str">
        <f t="shared" si="2"/>
        <v>Review</v>
      </c>
    </row>
    <row r="78" spans="1:3" x14ac:dyDescent="0.35">
      <c r="A78" t="s">
        <v>199</v>
      </c>
      <c r="B78" t="s">
        <v>124</v>
      </c>
      <c r="C78" t="str">
        <f t="shared" si="2"/>
        <v>Review</v>
      </c>
    </row>
    <row r="79" spans="1:3" x14ac:dyDescent="0.35">
      <c r="A79" t="s">
        <v>200</v>
      </c>
      <c r="B79" t="s">
        <v>125</v>
      </c>
      <c r="C79" t="str">
        <f t="shared" si="2"/>
        <v>Review</v>
      </c>
    </row>
    <row r="80" spans="1:3" x14ac:dyDescent="0.35">
      <c r="A80" t="s">
        <v>201</v>
      </c>
      <c r="B80" t="s">
        <v>86</v>
      </c>
      <c r="C80" t="str">
        <f t="shared" si="2"/>
        <v/>
      </c>
    </row>
    <row r="81" spans="1:3" x14ac:dyDescent="0.35">
      <c r="A81" t="s">
        <v>86</v>
      </c>
      <c r="B81" t="s">
        <v>85</v>
      </c>
      <c r="C81" t="str">
        <f t="shared" si="2"/>
        <v/>
      </c>
    </row>
    <row r="82" spans="1:3" x14ac:dyDescent="0.35">
      <c r="A82" t="s">
        <v>85</v>
      </c>
      <c r="B82" t="s">
        <v>105</v>
      </c>
      <c r="C82" t="str">
        <f t="shared" si="2"/>
        <v>Review</v>
      </c>
    </row>
    <row r="83" spans="1:3" x14ac:dyDescent="0.35">
      <c r="A83" t="s">
        <v>93</v>
      </c>
      <c r="B83" t="s">
        <v>106</v>
      </c>
      <c r="C83" t="str">
        <f t="shared" si="2"/>
        <v>Review</v>
      </c>
    </row>
    <row r="84" spans="1:3" x14ac:dyDescent="0.35">
      <c r="A84" t="s">
        <v>197</v>
      </c>
      <c r="B84" t="s">
        <v>126</v>
      </c>
      <c r="C84" t="str">
        <f t="shared" si="2"/>
        <v>Review</v>
      </c>
    </row>
    <row r="85" spans="1:3" x14ac:dyDescent="0.35">
      <c r="A85" t="s">
        <v>202</v>
      </c>
      <c r="B85" t="s">
        <v>127</v>
      </c>
      <c r="C85" t="str">
        <f t="shared" si="2"/>
        <v>Review</v>
      </c>
    </row>
    <row r="86" spans="1:3" x14ac:dyDescent="0.35">
      <c r="A86" t="s">
        <v>203</v>
      </c>
      <c r="B86" t="s">
        <v>128</v>
      </c>
      <c r="C86" t="str">
        <f t="shared" si="2"/>
        <v>Review</v>
      </c>
    </row>
    <row r="87" spans="1:3" x14ac:dyDescent="0.35">
      <c r="A87" t="s">
        <v>204</v>
      </c>
      <c r="B87" t="s">
        <v>129</v>
      </c>
      <c r="C87" t="str">
        <f t="shared" si="2"/>
        <v>Review</v>
      </c>
    </row>
    <row r="88" spans="1:3" x14ac:dyDescent="0.35">
      <c r="A88" t="s">
        <v>205</v>
      </c>
      <c r="B88" t="s">
        <v>86</v>
      </c>
      <c r="C88" t="str">
        <f t="shared" si="2"/>
        <v/>
      </c>
    </row>
    <row r="89" spans="1:3" x14ac:dyDescent="0.35">
      <c r="A89" t="s">
        <v>86</v>
      </c>
      <c r="B89" t="s">
        <v>85</v>
      </c>
      <c r="C89" t="str">
        <f t="shared" si="2"/>
        <v/>
      </c>
    </row>
    <row r="90" spans="1:3" x14ac:dyDescent="0.35">
      <c r="A90" t="s">
        <v>85</v>
      </c>
      <c r="B90" t="s">
        <v>105</v>
      </c>
      <c r="C90" t="str">
        <f t="shared" si="2"/>
        <v>Review</v>
      </c>
    </row>
    <row r="91" spans="1:3" x14ac:dyDescent="0.35">
      <c r="A91" t="s">
        <v>93</v>
      </c>
      <c r="B91" t="s">
        <v>106</v>
      </c>
      <c r="C91" t="str">
        <f t="shared" si="2"/>
        <v>Review</v>
      </c>
    </row>
    <row r="92" spans="1:3" x14ac:dyDescent="0.35">
      <c r="A92" t="s">
        <v>197</v>
      </c>
      <c r="B92" t="s">
        <v>130</v>
      </c>
      <c r="C92" t="str">
        <f t="shared" si="2"/>
        <v>Review</v>
      </c>
    </row>
    <row r="93" spans="1:3" x14ac:dyDescent="0.35">
      <c r="A93" t="s">
        <v>206</v>
      </c>
      <c r="B93" t="s">
        <v>131</v>
      </c>
      <c r="C93" t="str">
        <f t="shared" si="2"/>
        <v>Review</v>
      </c>
    </row>
    <row r="94" spans="1:3" x14ac:dyDescent="0.35">
      <c r="A94" t="s">
        <v>207</v>
      </c>
      <c r="B94" t="s">
        <v>132</v>
      </c>
      <c r="C94" t="str">
        <f t="shared" si="2"/>
        <v>Review</v>
      </c>
    </row>
    <row r="95" spans="1:3" x14ac:dyDescent="0.35">
      <c r="A95" t="s">
        <v>208</v>
      </c>
      <c r="B95" t="s">
        <v>133</v>
      </c>
      <c r="C95" t="str">
        <f t="shared" si="2"/>
        <v>Review</v>
      </c>
    </row>
    <row r="96" spans="1:3" x14ac:dyDescent="0.35">
      <c r="A96" t="s">
        <v>209</v>
      </c>
      <c r="B96" t="s">
        <v>86</v>
      </c>
      <c r="C96" t="str">
        <f t="shared" si="2"/>
        <v/>
      </c>
    </row>
    <row r="97" spans="1:3" x14ac:dyDescent="0.35">
      <c r="A97" t="s">
        <v>86</v>
      </c>
      <c r="B97" t="s">
        <v>85</v>
      </c>
      <c r="C97" t="str">
        <f t="shared" ref="C97:C128" si="3">IF(A98=B97,"","Review")</f>
        <v/>
      </c>
    </row>
    <row r="98" spans="1:3" x14ac:dyDescent="0.35">
      <c r="A98" t="s">
        <v>85</v>
      </c>
      <c r="B98" t="s">
        <v>105</v>
      </c>
      <c r="C98" t="str">
        <f t="shared" si="3"/>
        <v>Review</v>
      </c>
    </row>
    <row r="99" spans="1:3" x14ac:dyDescent="0.35">
      <c r="A99" t="s">
        <v>93</v>
      </c>
      <c r="B99" t="s">
        <v>106</v>
      </c>
      <c r="C99" t="str">
        <f t="shared" si="3"/>
        <v>Review</v>
      </c>
    </row>
    <row r="100" spans="1:3" x14ac:dyDescent="0.35">
      <c r="A100" t="s">
        <v>197</v>
      </c>
      <c r="B100" t="s">
        <v>134</v>
      </c>
      <c r="C100" t="str">
        <f t="shared" si="3"/>
        <v>Review</v>
      </c>
    </row>
    <row r="101" spans="1:3" x14ac:dyDescent="0.35">
      <c r="A101" t="s">
        <v>210</v>
      </c>
      <c r="B101" t="s">
        <v>135</v>
      </c>
      <c r="C101" t="str">
        <f t="shared" si="3"/>
        <v>Review</v>
      </c>
    </row>
    <row r="102" spans="1:3" x14ac:dyDescent="0.35">
      <c r="A102" t="s">
        <v>211</v>
      </c>
      <c r="B102" t="s">
        <v>136</v>
      </c>
      <c r="C102" t="str">
        <f t="shared" si="3"/>
        <v>Review</v>
      </c>
    </row>
    <row r="103" spans="1:3" x14ac:dyDescent="0.35">
      <c r="A103" t="s">
        <v>212</v>
      </c>
      <c r="B103" t="s">
        <v>137</v>
      </c>
      <c r="C103" t="str">
        <f t="shared" si="3"/>
        <v>Review</v>
      </c>
    </row>
    <row r="104" spans="1:3" x14ac:dyDescent="0.35">
      <c r="A104" t="s">
        <v>213</v>
      </c>
      <c r="B104" t="s">
        <v>86</v>
      </c>
      <c r="C104" t="str">
        <f t="shared" si="3"/>
        <v/>
      </c>
    </row>
    <row r="105" spans="1:3" x14ac:dyDescent="0.35">
      <c r="A105" t="s">
        <v>86</v>
      </c>
      <c r="B105" t="s">
        <v>85</v>
      </c>
      <c r="C105" t="e">
        <f>IF(#REF!=B105,"","Review")</f>
        <v>#REF!</v>
      </c>
    </row>
    <row r="106" spans="1:3" x14ac:dyDescent="0.35">
      <c r="A106" t="s">
        <v>85</v>
      </c>
      <c r="B106" t="s">
        <v>105</v>
      </c>
      <c r="C106" t="str">
        <f>IF(A106=B106,"","Review")</f>
        <v>Review</v>
      </c>
    </row>
    <row r="107" spans="1:3" x14ac:dyDescent="0.35">
      <c r="A107" t="s">
        <v>105</v>
      </c>
      <c r="B107" t="s">
        <v>106</v>
      </c>
    </row>
    <row r="108" spans="1:3" x14ac:dyDescent="0.35">
      <c r="A108" t="s">
        <v>214</v>
      </c>
      <c r="B108" t="s">
        <v>138</v>
      </c>
    </row>
    <row r="109" spans="1:3" x14ac:dyDescent="0.35">
      <c r="A109" t="s">
        <v>215</v>
      </c>
      <c r="B109" t="s">
        <v>139</v>
      </c>
    </row>
    <row r="110" spans="1:3" x14ac:dyDescent="0.35">
      <c r="A110" t="s">
        <v>216</v>
      </c>
      <c r="B110" t="s">
        <v>140</v>
      </c>
    </row>
    <row r="111" spans="1:3" x14ac:dyDescent="0.35">
      <c r="A111" t="s">
        <v>217</v>
      </c>
      <c r="B111" t="s">
        <v>141</v>
      </c>
    </row>
    <row r="112" spans="1:3" x14ac:dyDescent="0.35">
      <c r="A112" t="s">
        <v>218</v>
      </c>
      <c r="B112" t="s">
        <v>86</v>
      </c>
    </row>
    <row r="113" spans="1:2" x14ac:dyDescent="0.35">
      <c r="A113" t="s">
        <v>86</v>
      </c>
      <c r="B113" t="s">
        <v>85</v>
      </c>
    </row>
    <row r="114" spans="1:2" x14ac:dyDescent="0.35">
      <c r="A114" t="s">
        <v>85</v>
      </c>
      <c r="B114" t="s">
        <v>105</v>
      </c>
    </row>
    <row r="115" spans="1:2" x14ac:dyDescent="0.35">
      <c r="A115" t="s">
        <v>93</v>
      </c>
      <c r="B115" t="s">
        <v>106</v>
      </c>
    </row>
    <row r="116" spans="1:2" x14ac:dyDescent="0.35">
      <c r="A116" t="s">
        <v>219</v>
      </c>
      <c r="B116" t="s">
        <v>142</v>
      </c>
    </row>
    <row r="117" spans="1:2" x14ac:dyDescent="0.35">
      <c r="A117" t="s">
        <v>220</v>
      </c>
      <c r="B117" t="s">
        <v>143</v>
      </c>
    </row>
    <row r="118" spans="1:2" x14ac:dyDescent="0.35">
      <c r="A118" t="s">
        <v>221</v>
      </c>
      <c r="B118" t="s">
        <v>144</v>
      </c>
    </row>
    <row r="119" spans="1:2" x14ac:dyDescent="0.35">
      <c r="A119" t="s">
        <v>222</v>
      </c>
      <c r="B119" t="s">
        <v>145</v>
      </c>
    </row>
    <row r="120" spans="1:2" x14ac:dyDescent="0.35">
      <c r="A120" t="s">
        <v>223</v>
      </c>
      <c r="B120" t="s">
        <v>86</v>
      </c>
    </row>
    <row r="121" spans="1:2" x14ac:dyDescent="0.35">
      <c r="A121" t="s">
        <v>86</v>
      </c>
      <c r="B121" s="17" t="s">
        <v>146</v>
      </c>
    </row>
    <row r="122" spans="1:2" x14ac:dyDescent="0.35">
      <c r="A122" t="s">
        <v>85</v>
      </c>
      <c r="B122" s="17" t="s">
        <v>147</v>
      </c>
    </row>
    <row r="123" spans="1:2" x14ac:dyDescent="0.35">
      <c r="A123" t="s">
        <v>93</v>
      </c>
      <c r="B123" s="17" t="s">
        <v>148</v>
      </c>
    </row>
    <row r="124" spans="1:2" x14ac:dyDescent="0.35">
      <c r="A124" t="s">
        <v>219</v>
      </c>
      <c r="B124" s="17" t="s">
        <v>149</v>
      </c>
    </row>
    <row r="125" spans="1:2" x14ac:dyDescent="0.35">
      <c r="A125" t="s">
        <v>224</v>
      </c>
      <c r="B125" s="17" t="s">
        <v>150</v>
      </c>
    </row>
    <row r="126" spans="1:2" x14ac:dyDescent="0.35">
      <c r="A126" t="s">
        <v>225</v>
      </c>
      <c r="B126" s="17" t="s">
        <v>151</v>
      </c>
    </row>
    <row r="127" spans="1:2" x14ac:dyDescent="0.35">
      <c r="A127" t="s">
        <v>226</v>
      </c>
      <c r="B127" s="17" t="s">
        <v>152</v>
      </c>
    </row>
    <row r="128" spans="1:2" x14ac:dyDescent="0.35">
      <c r="A128" t="s">
        <v>227</v>
      </c>
      <c r="B128" s="17" t="s">
        <v>153</v>
      </c>
    </row>
    <row r="129" spans="1:2" x14ac:dyDescent="0.35">
      <c r="A129" t="s">
        <v>86</v>
      </c>
      <c r="B129" t="s">
        <v>91</v>
      </c>
    </row>
    <row r="130" spans="1:2" x14ac:dyDescent="0.35">
      <c r="A130" t="s">
        <v>85</v>
      </c>
    </row>
    <row r="131" spans="1:2" x14ac:dyDescent="0.35">
      <c r="A131" t="s">
        <v>105</v>
      </c>
    </row>
    <row r="132" spans="1:2" x14ac:dyDescent="0.35">
      <c r="A132" t="s">
        <v>228</v>
      </c>
    </row>
    <row r="133" spans="1:2" x14ac:dyDescent="0.35">
      <c r="A133" t="s">
        <v>229</v>
      </c>
    </row>
    <row r="134" spans="1:2" x14ac:dyDescent="0.35">
      <c r="A134" t="s">
        <v>230</v>
      </c>
    </row>
    <row r="135" spans="1:2" x14ac:dyDescent="0.35">
      <c r="A135" t="s">
        <v>231</v>
      </c>
    </row>
    <row r="136" spans="1:2" x14ac:dyDescent="0.35">
      <c r="A136" t="s">
        <v>232</v>
      </c>
    </row>
    <row r="137" spans="1:2" x14ac:dyDescent="0.35">
      <c r="A137" t="s">
        <v>86</v>
      </c>
    </row>
    <row r="138" spans="1:2" x14ac:dyDescent="0.35">
      <c r="A138" t="s">
        <v>85</v>
      </c>
    </row>
    <row r="139" spans="1:2" x14ac:dyDescent="0.35">
      <c r="A139" t="s">
        <v>93</v>
      </c>
    </row>
    <row r="140" spans="1:2" x14ac:dyDescent="0.35">
      <c r="A140" t="s">
        <v>228</v>
      </c>
    </row>
    <row r="141" spans="1:2" x14ac:dyDescent="0.35">
      <c r="A141" t="s">
        <v>233</v>
      </c>
    </row>
    <row r="142" spans="1:2" x14ac:dyDescent="0.35">
      <c r="A142" t="s">
        <v>234</v>
      </c>
    </row>
    <row r="143" spans="1:2" x14ac:dyDescent="0.35">
      <c r="A143" t="s">
        <v>235</v>
      </c>
    </row>
    <row r="144" spans="1:2" x14ac:dyDescent="0.35">
      <c r="A144" t="s">
        <v>236</v>
      </c>
    </row>
    <row r="145" spans="1:1" x14ac:dyDescent="0.35">
      <c r="A145" t="s">
        <v>86</v>
      </c>
    </row>
    <row r="146" spans="1:1" x14ac:dyDescent="0.35">
      <c r="A146" t="s">
        <v>85</v>
      </c>
    </row>
    <row r="147" spans="1:1" x14ac:dyDescent="0.35">
      <c r="A147" t="s">
        <v>93</v>
      </c>
    </row>
    <row r="148" spans="1:1" x14ac:dyDescent="0.35">
      <c r="A148" t="s">
        <v>237</v>
      </c>
    </row>
    <row r="149" spans="1:1" x14ac:dyDescent="0.35">
      <c r="A149" t="s">
        <v>238</v>
      </c>
    </row>
    <row r="150" spans="1:1" x14ac:dyDescent="0.35">
      <c r="A150" t="s">
        <v>239</v>
      </c>
    </row>
    <row r="151" spans="1:1" x14ac:dyDescent="0.35">
      <c r="A151" t="s">
        <v>240</v>
      </c>
    </row>
    <row r="152" spans="1:1" x14ac:dyDescent="0.35">
      <c r="A152" t="s">
        <v>241</v>
      </c>
    </row>
    <row r="153" spans="1:1" x14ac:dyDescent="0.35">
      <c r="A153" t="s">
        <v>86</v>
      </c>
    </row>
    <row r="154" spans="1:1" x14ac:dyDescent="0.35">
      <c r="A154" t="s">
        <v>85</v>
      </c>
    </row>
    <row r="155" spans="1:1" x14ac:dyDescent="0.35">
      <c r="A155" t="s">
        <v>93</v>
      </c>
    </row>
    <row r="156" spans="1:1" x14ac:dyDescent="0.35">
      <c r="A156" t="s">
        <v>237</v>
      </c>
    </row>
    <row r="157" spans="1:1" x14ac:dyDescent="0.35">
      <c r="A157" t="s">
        <v>242</v>
      </c>
    </row>
    <row r="158" spans="1:1" x14ac:dyDescent="0.35">
      <c r="A158" t="s">
        <v>243</v>
      </c>
    </row>
    <row r="159" spans="1:1" x14ac:dyDescent="0.35">
      <c r="A159" t="s">
        <v>244</v>
      </c>
    </row>
    <row r="160" spans="1:1" x14ac:dyDescent="0.35">
      <c r="A160" t="s">
        <v>245</v>
      </c>
    </row>
    <row r="161" spans="1:1" x14ac:dyDescent="0.35">
      <c r="A161" t="s">
        <v>86</v>
      </c>
    </row>
    <row r="162" spans="1:1" x14ac:dyDescent="0.35">
      <c r="A162" t="s">
        <v>85</v>
      </c>
    </row>
    <row r="163" spans="1:1" x14ac:dyDescent="0.35">
      <c r="A163" t="s">
        <v>105</v>
      </c>
    </row>
    <row r="164" spans="1:1" x14ac:dyDescent="0.35">
      <c r="A164" t="s">
        <v>246</v>
      </c>
    </row>
    <row r="165" spans="1:1" x14ac:dyDescent="0.35">
      <c r="A165" t="s">
        <v>247</v>
      </c>
    </row>
    <row r="166" spans="1:1" x14ac:dyDescent="0.35">
      <c r="A166" t="s">
        <v>248</v>
      </c>
    </row>
    <row r="167" spans="1:1" x14ac:dyDescent="0.35">
      <c r="A167" t="s">
        <v>249</v>
      </c>
    </row>
    <row r="168" spans="1:1" x14ac:dyDescent="0.35">
      <c r="A168" t="s">
        <v>250</v>
      </c>
    </row>
    <row r="169" spans="1:1" x14ac:dyDescent="0.35">
      <c r="A169" t="s">
        <v>86</v>
      </c>
    </row>
    <row r="170" spans="1:1" x14ac:dyDescent="0.35">
      <c r="A170" t="s">
        <v>87</v>
      </c>
    </row>
    <row r="171" spans="1:1" x14ac:dyDescent="0.35">
      <c r="A171" t="s">
        <v>88</v>
      </c>
    </row>
    <row r="172" spans="1:1" x14ac:dyDescent="0.35">
      <c r="A172" t="s">
        <v>89</v>
      </c>
    </row>
    <row r="173" spans="1:1" x14ac:dyDescent="0.35">
      <c r="A173" t="s">
        <v>251</v>
      </c>
    </row>
    <row r="174" spans="1:1" x14ac:dyDescent="0.35">
      <c r="A174" t="s">
        <v>90</v>
      </c>
    </row>
    <row r="175" spans="1:1" x14ac:dyDescent="0.35">
      <c r="A175" t="s">
        <v>252</v>
      </c>
    </row>
    <row r="176" spans="1:1" x14ac:dyDescent="0.35">
      <c r="A176" t="s">
        <v>253</v>
      </c>
    </row>
    <row r="177" spans="1:1" x14ac:dyDescent="0.35">
      <c r="A177" t="s">
        <v>254</v>
      </c>
    </row>
    <row r="178" spans="1:1" x14ac:dyDescent="0.35">
      <c r="A178" t="s">
        <v>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0BBBF8-5927-4031-8095-18F915B091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Accounts</vt:lpstr>
      <vt:lpstr>Import</vt:lpstr>
      <vt:lpstr>Converted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2018-02-06T15:37:56Z</dcterms:created>
  <dcterms:modified xsi:type="dcterms:W3CDTF">2018-02-20T16:51:11Z</dcterms:modified>
</cp:coreProperties>
</file>